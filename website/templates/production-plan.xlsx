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ophia/Library/Mobile Documents/com~apple~CloudDocs/Bakery/Production - orders+planning/Deliverable_2026-09/"/>
    </mc:Choice>
  </mc:AlternateContent>
  <xr:revisionPtr revIDLastSave="0" documentId="13_ncr:1_{FC61A160-7DB9-1A4F-8539-4428E9BACD28}" xr6:coauthVersionLast="47" xr6:coauthVersionMax="47" xr10:uidLastSave="{00000000-0000-0000-0000-000000000000}"/>
  <bookViews>
    <workbookView xWindow="0" yWindow="660" windowWidth="29400" windowHeight="18460" xr2:uid="{3B4CC261-C09A-2545-A80C-BE0417D57BA1}"/>
  </bookViews>
  <sheets>
    <sheet name="Overview" sheetId="1" r:id="rId1"/>
    <sheet name="Kostprijs" sheetId="2" state="hidden" r:id="rId2"/>
    <sheet name="Prijslijst" sheetId="5" state="hidden" r:id="rId3"/>
    <sheet name="Kostprijs LUMBONO" sheetId="9" state="hidden" r:id="rId4"/>
    <sheet name="Orders" sheetId="8" r:id="rId5"/>
    <sheet name="Desem schema" sheetId="13" r:id="rId6"/>
    <sheet name="Desem schema oud" sheetId="4" state="hidden" r:id="rId7"/>
    <sheet name="Planning" sheetId="3" state="hidden" r:id="rId8"/>
    <sheet name="Planning " sheetId="7" r:id="rId9"/>
    <sheet name="Contenitori" sheetId="12" r:id="rId10"/>
  </sheets>
  <definedNames>
    <definedName name="_xlnm._FilterDatabase" localSheetId="9" hidden="1">Contenitori!$B$1:$F$7</definedName>
    <definedName name="_xlnm._FilterDatabase" localSheetId="1" hidden="1">Kostprijs!$B$4:$AA$4</definedName>
    <definedName name="_xlnm._FilterDatabase" localSheetId="3" hidden="1">'Kostprijs LUMBONO'!$B$4:$AA$4</definedName>
    <definedName name="_xlnm._FilterDatabase" localSheetId="4" hidden="1">Orders!$A$1:$AV$1</definedName>
    <definedName name="_xlnm._FilterDatabase" localSheetId="8" hidden="1">'Planning '!$B$2:$H$42</definedName>
    <definedName name="_xlnm.Print_Area" localSheetId="2">Prijslijst!$B$1:$E$20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F9" i="13" s="1"/>
  <c r="D9" i="13" s="1"/>
  <c r="C10" i="1"/>
  <c r="C9" i="1"/>
  <c r="C8" i="1"/>
  <c r="C7" i="1"/>
  <c r="F6" i="13" s="1"/>
  <c r="D6" i="13" s="1"/>
  <c r="C6" i="1"/>
  <c r="F4" i="13" s="1"/>
  <c r="D4" i="13" s="1"/>
  <c r="D13" i="13" s="1"/>
  <c r="C5" i="1"/>
  <c r="F5" i="13" s="1"/>
  <c r="D5" i="13" s="1"/>
  <c r="C4" i="1"/>
  <c r="C3" i="1"/>
  <c r="F7" i="13"/>
  <c r="D7" i="13" s="1"/>
  <c r="F8" i="13"/>
  <c r="D8" i="13" s="1"/>
  <c r="F3" i="13" l="1"/>
  <c r="D3" i="13" s="1"/>
  <c r="D12" i="13" s="1"/>
  <c r="G18" i="13" s="1"/>
  <c r="F18" i="13" s="1"/>
  <c r="G31" i="13"/>
  <c r="F31" i="13" s="1"/>
  <c r="F32" i="13" s="1"/>
  <c r="M19" i="4"/>
  <c r="N35" i="4"/>
  <c r="F19" i="13" l="1"/>
  <c r="K18" i="13"/>
  <c r="K31" i="13"/>
  <c r="F20" i="13"/>
  <c r="F21" i="13"/>
  <c r="E21" i="13" s="1"/>
  <c r="E24" i="13" s="1"/>
  <c r="D24" i="13" s="1"/>
  <c r="M8" i="4"/>
  <c r="M7" i="4"/>
  <c r="M6" i="4"/>
  <c r="M4" i="4"/>
  <c r="M13" i="4"/>
  <c r="I13" i="4" s="1"/>
  <c r="G13" i="4" s="1"/>
  <c r="H13" i="4" s="1"/>
  <c r="E13" i="4" s="1"/>
  <c r="F13" i="4" s="1"/>
  <c r="B9" i="4"/>
  <c r="B10" i="4"/>
  <c r="B11" i="4"/>
  <c r="B12" i="4"/>
  <c r="B13" i="4"/>
  <c r="B14" i="4"/>
  <c r="B15" i="4"/>
  <c r="B16" i="4"/>
  <c r="B17" i="4"/>
  <c r="B18" i="4"/>
  <c r="B19" i="4"/>
  <c r="B20" i="4"/>
  <c r="E22" i="13" l="1"/>
  <c r="E23" i="13"/>
  <c r="K33" i="13"/>
  <c r="K32" i="13"/>
  <c r="K20" i="13"/>
  <c r="K19" i="13"/>
  <c r="D27" i="13"/>
  <c r="D26" i="13"/>
  <c r="D25" i="13"/>
  <c r="I19" i="4"/>
  <c r="G19" i="4" s="1"/>
  <c r="H19" i="4" s="1"/>
  <c r="E19" i="4" s="1"/>
  <c r="F19" i="4" s="1"/>
  <c r="F33" i="13" l="1"/>
  <c r="F34" i="13"/>
  <c r="E34" i="13" s="1"/>
  <c r="C5" i="12"/>
  <c r="C22" i="1"/>
  <c r="E37" i="13" l="1"/>
  <c r="D37" i="13" s="1"/>
  <c r="E36" i="13"/>
  <c r="E35" i="13"/>
  <c r="C2" i="12"/>
  <c r="M55" i="7" a="1"/>
  <c r="M55" i="7" s="1"/>
  <c r="N56" i="7"/>
  <c r="M56" i="7" s="1" a="1"/>
  <c r="M56" i="7" s="1"/>
  <c r="D40" i="13" l="1"/>
  <c r="D38" i="13"/>
  <c r="D39" i="13"/>
  <c r="N57" i="7"/>
  <c r="N58" i="7" s="1"/>
  <c r="N59" i="7" s="1"/>
  <c r="N60" i="7" s="1"/>
  <c r="N61" i="7" s="1"/>
  <c r="N62" i="7" s="1"/>
  <c r="N63" i="7" s="1"/>
  <c r="N64" i="7" s="1"/>
  <c r="N65" i="7" s="1"/>
  <c r="M57" i="7" l="1" a="1"/>
  <c r="M57" i="7" s="1"/>
  <c r="M59" i="7" a="1"/>
  <c r="M59" i="7" s="1"/>
  <c r="M58" i="7" a="1"/>
  <c r="M58" i="7" s="1"/>
  <c r="M60" i="7" a="1"/>
  <c r="M60" i="7" s="1"/>
  <c r="M61" i="7" a="1"/>
  <c r="M61" i="7" s="1"/>
  <c r="M62" i="7" l="1" a="1"/>
  <c r="M62" i="7" s="1"/>
  <c r="M63" i="7" l="1" a="1"/>
  <c r="M63" i="7" s="1"/>
  <c r="M64" i="7" l="1" a="1"/>
  <c r="M64" i="7" s="1"/>
  <c r="M65" i="7" a="1"/>
  <c r="M65" i="7" s="1"/>
  <c r="M9" i="4" l="1"/>
  <c r="I9" i="4" s="1"/>
  <c r="M10" i="4"/>
  <c r="I10" i="4" s="1"/>
  <c r="G10" i="4" s="1"/>
  <c r="H10" i="4" s="1"/>
  <c r="E10" i="4" s="1"/>
  <c r="F10" i="4" s="1"/>
  <c r="M5" i="4"/>
  <c r="I5" i="4" s="1"/>
  <c r="G5" i="4" s="1"/>
  <c r="H5" i="4" s="1"/>
  <c r="E5" i="4" s="1"/>
  <c r="F5" i="4" s="1"/>
  <c r="B5" i="4"/>
  <c r="M48" i="7" a="1"/>
  <c r="M48" i="7" s="1"/>
  <c r="N49" i="7"/>
  <c r="M49" i="7" s="1" a="1"/>
  <c r="M49" i="7" s="1"/>
  <c r="M42" i="7" a="1"/>
  <c r="M42" i="7" s="1"/>
  <c r="N43" i="7"/>
  <c r="N44" i="7" s="1"/>
  <c r="N45" i="7" s="1"/>
  <c r="M32" i="7" a="1"/>
  <c r="M32" i="7" s="1"/>
  <c r="N34" i="7"/>
  <c r="N35" i="7" s="1"/>
  <c r="M35" i="7" s="1" a="1"/>
  <c r="M35" i="7" s="1"/>
  <c r="N33" i="7"/>
  <c r="M33" i="7" s="1" a="1"/>
  <c r="M33" i="7" s="1"/>
  <c r="M27" i="7" a="1"/>
  <c r="M27" i="7" s="1"/>
  <c r="N28" i="7"/>
  <c r="M28" i="7" s="1" a="1"/>
  <c r="M28" i="7" s="1"/>
  <c r="M20" i="7" a="1"/>
  <c r="M20" i="7" s="1"/>
  <c r="N21" i="7"/>
  <c r="N22" i="7" s="1"/>
  <c r="M22" i="7" s="1" a="1"/>
  <c r="M22" i="7" s="1"/>
  <c r="M11" i="7" a="1"/>
  <c r="M11" i="7" s="1"/>
  <c r="M10" i="7" a="1"/>
  <c r="M10" i="7" s="1"/>
  <c r="N12" i="7"/>
  <c r="N13" i="7" s="1"/>
  <c r="M13" i="7" s="1" a="1"/>
  <c r="M13" i="7" s="1"/>
  <c r="M3" i="7" a="1"/>
  <c r="M3" i="7" s="1"/>
  <c r="N4" i="7"/>
  <c r="N5" i="7" s="1"/>
  <c r="M5" i="7" s="1" a="1"/>
  <c r="M5" i="7" s="1"/>
  <c r="Y46" i="9"/>
  <c r="X46" i="9"/>
  <c r="W46" i="9"/>
  <c r="V46" i="9"/>
  <c r="U46" i="9"/>
  <c r="T46" i="9"/>
  <c r="S46" i="9"/>
  <c r="R46" i="9"/>
  <c r="Q46" i="9"/>
  <c r="P46" i="9"/>
  <c r="M46" i="9"/>
  <c r="Y45" i="9"/>
  <c r="X45" i="9"/>
  <c r="W45" i="9"/>
  <c r="V45" i="9"/>
  <c r="U45" i="9"/>
  <c r="T45" i="9"/>
  <c r="S45" i="9"/>
  <c r="R45" i="9"/>
  <c r="Q45" i="9"/>
  <c r="P45" i="9"/>
  <c r="M45" i="9"/>
  <c r="Y44" i="9"/>
  <c r="X44" i="9"/>
  <c r="W44" i="9"/>
  <c r="V44" i="9"/>
  <c r="U44" i="9"/>
  <c r="T44" i="9"/>
  <c r="S44" i="9"/>
  <c r="R44" i="9"/>
  <c r="AA44" i="9" s="1"/>
  <c r="Q44" i="9"/>
  <c r="P44" i="9"/>
  <c r="M44" i="9"/>
  <c r="Y43" i="9"/>
  <c r="X43" i="9"/>
  <c r="W43" i="9"/>
  <c r="V43" i="9"/>
  <c r="U43" i="9"/>
  <c r="T43" i="9"/>
  <c r="S43" i="9"/>
  <c r="R43" i="9"/>
  <c r="Q43" i="9"/>
  <c r="P43" i="9"/>
  <c r="M43" i="9"/>
  <c r="Y42" i="9"/>
  <c r="X42" i="9"/>
  <c r="W42" i="9"/>
  <c r="V42" i="9"/>
  <c r="U42" i="9"/>
  <c r="T42" i="9"/>
  <c r="S42" i="9"/>
  <c r="R42" i="9"/>
  <c r="Q42" i="9"/>
  <c r="P42" i="9"/>
  <c r="M42" i="9"/>
  <c r="Y41" i="9"/>
  <c r="X41" i="9"/>
  <c r="W41" i="9"/>
  <c r="V41" i="9"/>
  <c r="U41" i="9"/>
  <c r="T41" i="9"/>
  <c r="S41" i="9"/>
  <c r="R41" i="9"/>
  <c r="Q41" i="9"/>
  <c r="P41" i="9"/>
  <c r="M41" i="9"/>
  <c r="Y40" i="9"/>
  <c r="X40" i="9"/>
  <c r="W40" i="9"/>
  <c r="V40" i="9"/>
  <c r="U40" i="9"/>
  <c r="T40" i="9"/>
  <c r="S40" i="9"/>
  <c r="R40" i="9"/>
  <c r="Q40" i="9"/>
  <c r="P40" i="9"/>
  <c r="M40" i="9"/>
  <c r="Y39" i="9"/>
  <c r="X39" i="9"/>
  <c r="W39" i="9"/>
  <c r="V39" i="9"/>
  <c r="U39" i="9"/>
  <c r="T39" i="9"/>
  <c r="S39" i="9"/>
  <c r="R39" i="9"/>
  <c r="Q39" i="9"/>
  <c r="P39" i="9"/>
  <c r="M39" i="9"/>
  <c r="Y38" i="9"/>
  <c r="X38" i="9"/>
  <c r="W38" i="9"/>
  <c r="V38" i="9"/>
  <c r="U38" i="9"/>
  <c r="T38" i="9"/>
  <c r="S38" i="9"/>
  <c r="R38" i="9"/>
  <c r="Q38" i="9"/>
  <c r="P38" i="9"/>
  <c r="M38" i="9"/>
  <c r="Y37" i="9"/>
  <c r="X37" i="9"/>
  <c r="W37" i="9"/>
  <c r="V37" i="9"/>
  <c r="U37" i="9"/>
  <c r="T37" i="9"/>
  <c r="S37" i="9"/>
  <c r="R37" i="9"/>
  <c r="Q37" i="9"/>
  <c r="P37" i="9"/>
  <c r="M37" i="9"/>
  <c r="Y36" i="9"/>
  <c r="X36" i="9"/>
  <c r="W36" i="9"/>
  <c r="V36" i="9"/>
  <c r="U36" i="9"/>
  <c r="T36" i="9"/>
  <c r="S36" i="9"/>
  <c r="R36" i="9"/>
  <c r="AA36" i="9" s="1"/>
  <c r="Q36" i="9"/>
  <c r="P36" i="9"/>
  <c r="M36" i="9"/>
  <c r="Y35" i="9"/>
  <c r="X35" i="9"/>
  <c r="W35" i="9"/>
  <c r="V35" i="9"/>
  <c r="U35" i="9"/>
  <c r="T35" i="9"/>
  <c r="S35" i="9"/>
  <c r="R35" i="9"/>
  <c r="Q35" i="9"/>
  <c r="P35" i="9"/>
  <c r="M35" i="9"/>
  <c r="Y34" i="9"/>
  <c r="X34" i="9"/>
  <c r="W34" i="9"/>
  <c r="V34" i="9"/>
  <c r="U34" i="9"/>
  <c r="T34" i="9"/>
  <c r="S34" i="9"/>
  <c r="R34" i="9"/>
  <c r="Q34" i="9"/>
  <c r="P34" i="9"/>
  <c r="M34" i="9"/>
  <c r="Y33" i="9"/>
  <c r="X33" i="9"/>
  <c r="W33" i="9"/>
  <c r="V33" i="9"/>
  <c r="U33" i="9"/>
  <c r="T33" i="9"/>
  <c r="S33" i="9"/>
  <c r="R33" i="9"/>
  <c r="Q33" i="9"/>
  <c r="P33" i="9"/>
  <c r="M33" i="9"/>
  <c r="Y32" i="9"/>
  <c r="X32" i="9"/>
  <c r="W32" i="9"/>
  <c r="V32" i="9"/>
  <c r="U32" i="9"/>
  <c r="T32" i="9"/>
  <c r="S32" i="9"/>
  <c r="R32" i="9"/>
  <c r="AA32" i="9" s="1"/>
  <c r="Q32" i="9"/>
  <c r="P32" i="9"/>
  <c r="M32" i="9"/>
  <c r="Y31" i="9"/>
  <c r="X31" i="9"/>
  <c r="W31" i="9"/>
  <c r="V31" i="9"/>
  <c r="U31" i="9"/>
  <c r="T31" i="9"/>
  <c r="S31" i="9"/>
  <c r="R31" i="9"/>
  <c r="Q31" i="9"/>
  <c r="P31" i="9"/>
  <c r="M31" i="9"/>
  <c r="Y30" i="9"/>
  <c r="X30" i="9"/>
  <c r="W30" i="9"/>
  <c r="V30" i="9"/>
  <c r="U30" i="9"/>
  <c r="T30" i="9"/>
  <c r="S30" i="9"/>
  <c r="R30" i="9"/>
  <c r="Q30" i="9"/>
  <c r="P30" i="9"/>
  <c r="M30" i="9"/>
  <c r="Y29" i="9"/>
  <c r="X29" i="9"/>
  <c r="W29" i="9"/>
  <c r="V29" i="9"/>
  <c r="U29" i="9"/>
  <c r="T29" i="9"/>
  <c r="S29" i="9"/>
  <c r="R29" i="9"/>
  <c r="Q29" i="9"/>
  <c r="P29" i="9"/>
  <c r="M29" i="9"/>
  <c r="Y28" i="9"/>
  <c r="X28" i="9"/>
  <c r="W28" i="9"/>
  <c r="V28" i="9"/>
  <c r="U28" i="9"/>
  <c r="T28" i="9"/>
  <c r="S28" i="9"/>
  <c r="R28" i="9"/>
  <c r="AA28" i="9" s="1"/>
  <c r="Q28" i="9"/>
  <c r="P28" i="9"/>
  <c r="M28" i="9"/>
  <c r="Y27" i="9"/>
  <c r="X27" i="9"/>
  <c r="W27" i="9"/>
  <c r="V27" i="9"/>
  <c r="U27" i="9"/>
  <c r="T27" i="9"/>
  <c r="S27" i="9"/>
  <c r="R27" i="9"/>
  <c r="Q27" i="9"/>
  <c r="P27" i="9"/>
  <c r="M27" i="9"/>
  <c r="Y26" i="9"/>
  <c r="X26" i="9"/>
  <c r="W26" i="9"/>
  <c r="V26" i="9"/>
  <c r="U26" i="9"/>
  <c r="T26" i="9"/>
  <c r="S26" i="9"/>
  <c r="R26" i="9"/>
  <c r="Q26" i="9"/>
  <c r="P26" i="9"/>
  <c r="M26" i="9"/>
  <c r="Y25" i="9"/>
  <c r="X25" i="9"/>
  <c r="W25" i="9"/>
  <c r="V25" i="9"/>
  <c r="U25" i="9"/>
  <c r="T25" i="9"/>
  <c r="S25" i="9"/>
  <c r="R25" i="9"/>
  <c r="Q25" i="9"/>
  <c r="P25" i="9"/>
  <c r="M25" i="9"/>
  <c r="Y24" i="9"/>
  <c r="X24" i="9"/>
  <c r="W24" i="9"/>
  <c r="V24" i="9"/>
  <c r="U24" i="9"/>
  <c r="T24" i="9"/>
  <c r="S24" i="9"/>
  <c r="R24" i="9"/>
  <c r="AA24" i="9" s="1"/>
  <c r="Q24" i="9"/>
  <c r="P24" i="9"/>
  <c r="M24" i="9"/>
  <c r="Y23" i="9"/>
  <c r="X23" i="9"/>
  <c r="W23" i="9"/>
  <c r="V23" i="9"/>
  <c r="U23" i="9"/>
  <c r="T23" i="9"/>
  <c r="S23" i="9"/>
  <c r="R23" i="9"/>
  <c r="Q23" i="9"/>
  <c r="P23" i="9"/>
  <c r="M23" i="9"/>
  <c r="Y22" i="9"/>
  <c r="X22" i="9"/>
  <c r="W22" i="9"/>
  <c r="V22" i="9"/>
  <c r="U22" i="9"/>
  <c r="T22" i="9"/>
  <c r="S22" i="9"/>
  <c r="R22" i="9"/>
  <c r="Q22" i="9"/>
  <c r="P22" i="9"/>
  <c r="M22" i="9"/>
  <c r="Y21" i="9"/>
  <c r="X21" i="9"/>
  <c r="W21" i="9"/>
  <c r="V21" i="9"/>
  <c r="U21" i="9"/>
  <c r="T21" i="9"/>
  <c r="S21" i="9"/>
  <c r="R21" i="9"/>
  <c r="Q21" i="9"/>
  <c r="P21" i="9"/>
  <c r="M21" i="9"/>
  <c r="P20" i="9"/>
  <c r="O20" i="9"/>
  <c r="V20" i="9" s="1"/>
  <c r="M20" i="9"/>
  <c r="Y19" i="9"/>
  <c r="X19" i="9"/>
  <c r="W19" i="9"/>
  <c r="V19" i="9"/>
  <c r="U19" i="9"/>
  <c r="T19" i="9"/>
  <c r="S19" i="9"/>
  <c r="R19" i="9"/>
  <c r="Q19" i="9"/>
  <c r="AA19" i="9" s="1"/>
  <c r="P19" i="9"/>
  <c r="M19" i="9"/>
  <c r="Y18" i="9"/>
  <c r="X18" i="9"/>
  <c r="W18" i="9"/>
  <c r="V18" i="9"/>
  <c r="U18" i="9"/>
  <c r="T18" i="9"/>
  <c r="S18" i="9"/>
  <c r="R18" i="9"/>
  <c r="Q18" i="9"/>
  <c r="P18" i="9"/>
  <c r="M18" i="9"/>
  <c r="Y17" i="9"/>
  <c r="X17" i="9"/>
  <c r="W17" i="9"/>
  <c r="V17" i="9"/>
  <c r="U17" i="9"/>
  <c r="T17" i="9"/>
  <c r="S17" i="9"/>
  <c r="R17" i="9"/>
  <c r="Q17" i="9"/>
  <c r="P17" i="9"/>
  <c r="M17" i="9"/>
  <c r="Y16" i="9"/>
  <c r="X16" i="9"/>
  <c r="W16" i="9"/>
  <c r="V16" i="9"/>
  <c r="U16" i="9"/>
  <c r="T16" i="9"/>
  <c r="S16" i="9"/>
  <c r="R16" i="9"/>
  <c r="Q16" i="9"/>
  <c r="P16" i="9"/>
  <c r="M16" i="9"/>
  <c r="Y15" i="9"/>
  <c r="X15" i="9"/>
  <c r="W15" i="9"/>
  <c r="V15" i="9"/>
  <c r="U15" i="9"/>
  <c r="T15" i="9"/>
  <c r="S15" i="9"/>
  <c r="R15" i="9"/>
  <c r="Q15" i="9"/>
  <c r="AA15" i="9" s="1"/>
  <c r="P15" i="9"/>
  <c r="M15" i="9"/>
  <c r="Y14" i="9"/>
  <c r="X14" i="9"/>
  <c r="W14" i="9"/>
  <c r="V14" i="9"/>
  <c r="U14" i="9"/>
  <c r="T14" i="9"/>
  <c r="S14" i="9"/>
  <c r="R14" i="9"/>
  <c r="Q14" i="9"/>
  <c r="P14" i="9"/>
  <c r="M14" i="9"/>
  <c r="Y13" i="9"/>
  <c r="X13" i="9"/>
  <c r="W13" i="9"/>
  <c r="V13" i="9"/>
  <c r="U13" i="9"/>
  <c r="T13" i="9"/>
  <c r="S13" i="9"/>
  <c r="R13" i="9"/>
  <c r="Q13" i="9"/>
  <c r="P13" i="9"/>
  <c r="M13" i="9"/>
  <c r="Y12" i="9"/>
  <c r="X12" i="9"/>
  <c r="W12" i="9"/>
  <c r="V12" i="9"/>
  <c r="U12" i="9"/>
  <c r="T12" i="9"/>
  <c r="S12" i="9"/>
  <c r="R12" i="9"/>
  <c r="Q12" i="9"/>
  <c r="P12" i="9"/>
  <c r="M12" i="9"/>
  <c r="Y11" i="9"/>
  <c r="X11" i="9"/>
  <c r="W11" i="9"/>
  <c r="V11" i="9"/>
  <c r="U11" i="9"/>
  <c r="T11" i="9"/>
  <c r="S11" i="9"/>
  <c r="R11" i="9"/>
  <c r="Q11" i="9"/>
  <c r="AA11" i="9" s="1"/>
  <c r="P11" i="9"/>
  <c r="M11" i="9"/>
  <c r="Y10" i="9"/>
  <c r="X10" i="9"/>
  <c r="W10" i="9"/>
  <c r="V10" i="9"/>
  <c r="U10" i="9"/>
  <c r="T10" i="9"/>
  <c r="S10" i="9"/>
  <c r="R10" i="9"/>
  <c r="Q10" i="9"/>
  <c r="P10" i="9"/>
  <c r="M10" i="9"/>
  <c r="Y9" i="9"/>
  <c r="X9" i="9"/>
  <c r="W9" i="9"/>
  <c r="V9" i="9"/>
  <c r="U9" i="9"/>
  <c r="T9" i="9"/>
  <c r="S9" i="9"/>
  <c r="R9" i="9"/>
  <c r="Q9" i="9"/>
  <c r="P9" i="9"/>
  <c r="M9" i="9"/>
  <c r="Y8" i="9"/>
  <c r="X8" i="9"/>
  <c r="W8" i="9"/>
  <c r="V8" i="9"/>
  <c r="U8" i="9"/>
  <c r="T8" i="9"/>
  <c r="S8" i="9"/>
  <c r="R8" i="9"/>
  <c r="Q8" i="9"/>
  <c r="P8" i="9"/>
  <c r="M8" i="9"/>
  <c r="Y7" i="9"/>
  <c r="X7" i="9"/>
  <c r="W7" i="9"/>
  <c r="V7" i="9"/>
  <c r="U7" i="9"/>
  <c r="T7" i="9"/>
  <c r="S7" i="9"/>
  <c r="R7" i="9"/>
  <c r="Q7" i="9"/>
  <c r="AA7" i="9" s="1"/>
  <c r="P7" i="9"/>
  <c r="M7" i="9"/>
  <c r="Y6" i="9"/>
  <c r="X6" i="9"/>
  <c r="W6" i="9"/>
  <c r="V6" i="9"/>
  <c r="U6" i="9"/>
  <c r="T6" i="9"/>
  <c r="S6" i="9"/>
  <c r="R6" i="9"/>
  <c r="Q6" i="9"/>
  <c r="P6" i="9"/>
  <c r="M6" i="9"/>
  <c r="Y5" i="9"/>
  <c r="X5" i="9"/>
  <c r="W5" i="9"/>
  <c r="V5" i="9"/>
  <c r="U5" i="9"/>
  <c r="T5" i="9"/>
  <c r="S5" i="9"/>
  <c r="R5" i="9"/>
  <c r="Q5" i="9"/>
  <c r="P5" i="9"/>
  <c r="M5" i="9"/>
  <c r="Y4" i="9"/>
  <c r="X4" i="9"/>
  <c r="W4" i="9"/>
  <c r="V4" i="9"/>
  <c r="U4" i="9"/>
  <c r="T4" i="9"/>
  <c r="S4" i="9"/>
  <c r="R4" i="9"/>
  <c r="Q4" i="9"/>
  <c r="K4" i="9"/>
  <c r="J4" i="9"/>
  <c r="I4" i="9"/>
  <c r="H4" i="9"/>
  <c r="G4" i="9"/>
  <c r="F4" i="9"/>
  <c r="E4" i="9"/>
  <c r="D4" i="9"/>
  <c r="C4" i="9"/>
  <c r="K2" i="9"/>
  <c r="J2" i="9"/>
  <c r="I2" i="9"/>
  <c r="E2" i="9"/>
  <c r="D2" i="9"/>
  <c r="D18" i="1"/>
  <c r="T2" i="2"/>
  <c r="U2" i="2"/>
  <c r="V2" i="2"/>
  <c r="R3" i="2"/>
  <c r="S3" i="2"/>
  <c r="T3" i="2"/>
  <c r="U3" i="2"/>
  <c r="V3" i="2"/>
  <c r="W3" i="2"/>
  <c r="X3" i="2"/>
  <c r="Y3" i="2"/>
  <c r="Q6" i="2"/>
  <c r="R6" i="2"/>
  <c r="S6" i="2"/>
  <c r="T6" i="2"/>
  <c r="U6" i="2"/>
  <c r="V6" i="2"/>
  <c r="W6" i="2"/>
  <c r="X6" i="2"/>
  <c r="Y6" i="2"/>
  <c r="Q7" i="2"/>
  <c r="R7" i="2"/>
  <c r="S7" i="2"/>
  <c r="T7" i="2"/>
  <c r="U7" i="2"/>
  <c r="V7" i="2"/>
  <c r="W7" i="2"/>
  <c r="X7" i="2"/>
  <c r="Y7" i="2"/>
  <c r="Q8" i="2"/>
  <c r="R8" i="2"/>
  <c r="S8" i="2"/>
  <c r="T8" i="2"/>
  <c r="U8" i="2"/>
  <c r="V8" i="2"/>
  <c r="W8" i="2"/>
  <c r="X8" i="2"/>
  <c r="Y8" i="2"/>
  <c r="Q9" i="2"/>
  <c r="R9" i="2"/>
  <c r="S9" i="2"/>
  <c r="T9" i="2"/>
  <c r="U9" i="2"/>
  <c r="V9" i="2"/>
  <c r="W9" i="2"/>
  <c r="X9" i="2"/>
  <c r="Y9" i="2"/>
  <c r="Q10" i="2"/>
  <c r="R10" i="2"/>
  <c r="S10" i="2"/>
  <c r="T10" i="2"/>
  <c r="U10" i="2"/>
  <c r="V10" i="2"/>
  <c r="W10" i="2"/>
  <c r="X10" i="2"/>
  <c r="Y10" i="2"/>
  <c r="Q11" i="2"/>
  <c r="R11" i="2"/>
  <c r="S11" i="2"/>
  <c r="T11" i="2"/>
  <c r="U11" i="2"/>
  <c r="V11" i="2"/>
  <c r="W11" i="2"/>
  <c r="X11" i="2"/>
  <c r="Y11" i="2"/>
  <c r="Q12" i="2"/>
  <c r="R12" i="2"/>
  <c r="S12" i="2"/>
  <c r="T12" i="2"/>
  <c r="U12" i="2"/>
  <c r="V12" i="2"/>
  <c r="W12" i="2"/>
  <c r="X12" i="2"/>
  <c r="Y12" i="2"/>
  <c r="Q13" i="2"/>
  <c r="R13" i="2"/>
  <c r="S13" i="2"/>
  <c r="T13" i="2"/>
  <c r="U13" i="2"/>
  <c r="V13" i="2"/>
  <c r="W13" i="2"/>
  <c r="X13" i="2"/>
  <c r="Y13" i="2"/>
  <c r="Q14" i="2"/>
  <c r="R14" i="2"/>
  <c r="S14" i="2"/>
  <c r="T14" i="2"/>
  <c r="U14" i="2"/>
  <c r="V14" i="2"/>
  <c r="W14" i="2"/>
  <c r="X14" i="2"/>
  <c r="Y14" i="2"/>
  <c r="Q15" i="2"/>
  <c r="R15" i="2"/>
  <c r="S15" i="2"/>
  <c r="T15" i="2"/>
  <c r="U15" i="2"/>
  <c r="V15" i="2"/>
  <c r="W15" i="2"/>
  <c r="X15" i="2"/>
  <c r="Y15" i="2"/>
  <c r="Q16" i="2"/>
  <c r="R16" i="2"/>
  <c r="S16" i="2"/>
  <c r="T16" i="2"/>
  <c r="U16" i="2"/>
  <c r="V16" i="2"/>
  <c r="W16" i="2"/>
  <c r="X16" i="2"/>
  <c r="Y16" i="2"/>
  <c r="Q17" i="2"/>
  <c r="R17" i="2"/>
  <c r="S17" i="2"/>
  <c r="T17" i="2"/>
  <c r="U17" i="2"/>
  <c r="V17" i="2"/>
  <c r="W17" i="2"/>
  <c r="X17" i="2"/>
  <c r="Y17" i="2"/>
  <c r="Q18" i="2"/>
  <c r="R18" i="2"/>
  <c r="S18" i="2"/>
  <c r="T18" i="2"/>
  <c r="U18" i="2"/>
  <c r="V18" i="2"/>
  <c r="W18" i="2"/>
  <c r="X18" i="2"/>
  <c r="Y18" i="2"/>
  <c r="Q19" i="2"/>
  <c r="R19" i="2"/>
  <c r="S19" i="2"/>
  <c r="T19" i="2"/>
  <c r="U19" i="2"/>
  <c r="V19" i="2"/>
  <c r="W19" i="2"/>
  <c r="X19" i="2"/>
  <c r="Y19" i="2"/>
  <c r="Q20" i="2"/>
  <c r="R20" i="2"/>
  <c r="S20" i="2"/>
  <c r="T20" i="2"/>
  <c r="U20" i="2"/>
  <c r="V20" i="2"/>
  <c r="W20" i="2"/>
  <c r="X20" i="2"/>
  <c r="Y20" i="2"/>
  <c r="Q21" i="2"/>
  <c r="R21" i="2"/>
  <c r="S21" i="2"/>
  <c r="T21" i="2"/>
  <c r="U21" i="2"/>
  <c r="V21" i="2"/>
  <c r="W21" i="2"/>
  <c r="X21" i="2"/>
  <c r="Y21" i="2"/>
  <c r="Q22" i="2"/>
  <c r="R22" i="2"/>
  <c r="S22" i="2"/>
  <c r="T22" i="2"/>
  <c r="U22" i="2"/>
  <c r="V22" i="2"/>
  <c r="W22" i="2"/>
  <c r="X22" i="2"/>
  <c r="Y22" i="2"/>
  <c r="Q23" i="2"/>
  <c r="R23" i="2"/>
  <c r="S23" i="2"/>
  <c r="T23" i="2"/>
  <c r="U23" i="2"/>
  <c r="V23" i="2"/>
  <c r="W23" i="2"/>
  <c r="X23" i="2"/>
  <c r="Y23" i="2"/>
  <c r="Q24" i="2"/>
  <c r="R24" i="2"/>
  <c r="S24" i="2"/>
  <c r="T24" i="2"/>
  <c r="U24" i="2"/>
  <c r="V24" i="2"/>
  <c r="W24" i="2"/>
  <c r="X24" i="2"/>
  <c r="Y24" i="2"/>
  <c r="Q25" i="2"/>
  <c r="R25" i="2"/>
  <c r="S25" i="2"/>
  <c r="T25" i="2"/>
  <c r="U25" i="2"/>
  <c r="V25" i="2"/>
  <c r="W25" i="2"/>
  <c r="X25" i="2"/>
  <c r="Y25" i="2"/>
  <c r="Q26" i="2"/>
  <c r="R26" i="2"/>
  <c r="S26" i="2"/>
  <c r="T26" i="2"/>
  <c r="U26" i="2"/>
  <c r="V26" i="2"/>
  <c r="W26" i="2"/>
  <c r="X26" i="2"/>
  <c r="Y26" i="2"/>
  <c r="Q27" i="2"/>
  <c r="R27" i="2"/>
  <c r="S27" i="2"/>
  <c r="T27" i="2"/>
  <c r="U27" i="2"/>
  <c r="V27" i="2"/>
  <c r="W27" i="2"/>
  <c r="X27" i="2"/>
  <c r="Y27" i="2"/>
  <c r="Q28" i="2"/>
  <c r="R28" i="2"/>
  <c r="S28" i="2"/>
  <c r="T28" i="2"/>
  <c r="U28" i="2"/>
  <c r="V28" i="2"/>
  <c r="W28" i="2"/>
  <c r="X28" i="2"/>
  <c r="Y28" i="2"/>
  <c r="Q29" i="2"/>
  <c r="R29" i="2"/>
  <c r="S29" i="2"/>
  <c r="T29" i="2"/>
  <c r="U29" i="2"/>
  <c r="V29" i="2"/>
  <c r="W29" i="2"/>
  <c r="X29" i="2"/>
  <c r="Y29" i="2"/>
  <c r="Q30" i="2"/>
  <c r="R30" i="2"/>
  <c r="S30" i="2"/>
  <c r="T30" i="2"/>
  <c r="U30" i="2"/>
  <c r="V30" i="2"/>
  <c r="W30" i="2"/>
  <c r="X30" i="2"/>
  <c r="Y30" i="2"/>
  <c r="Q31" i="2"/>
  <c r="R31" i="2"/>
  <c r="S31" i="2"/>
  <c r="T31" i="2"/>
  <c r="U31" i="2"/>
  <c r="V31" i="2"/>
  <c r="W31" i="2"/>
  <c r="X31" i="2"/>
  <c r="Y31" i="2"/>
  <c r="Q32" i="2"/>
  <c r="R32" i="2"/>
  <c r="S32" i="2"/>
  <c r="T32" i="2"/>
  <c r="U32" i="2"/>
  <c r="V32" i="2"/>
  <c r="W32" i="2"/>
  <c r="X32" i="2"/>
  <c r="Y32" i="2"/>
  <c r="Q33" i="2"/>
  <c r="R33" i="2"/>
  <c r="S33" i="2"/>
  <c r="T33" i="2"/>
  <c r="U33" i="2"/>
  <c r="V33" i="2"/>
  <c r="W33" i="2"/>
  <c r="X33" i="2"/>
  <c r="Y33" i="2"/>
  <c r="Q34" i="2"/>
  <c r="R34" i="2"/>
  <c r="S34" i="2"/>
  <c r="T34" i="2"/>
  <c r="U34" i="2"/>
  <c r="V34" i="2"/>
  <c r="W34" i="2"/>
  <c r="X34" i="2"/>
  <c r="Y34" i="2"/>
  <c r="Q35" i="2"/>
  <c r="R35" i="2"/>
  <c r="S35" i="2"/>
  <c r="T35" i="2"/>
  <c r="U35" i="2"/>
  <c r="V35" i="2"/>
  <c r="W35" i="2"/>
  <c r="X35" i="2"/>
  <c r="Y35" i="2"/>
  <c r="Q36" i="2"/>
  <c r="R36" i="2"/>
  <c r="S36" i="2"/>
  <c r="T36" i="2"/>
  <c r="U36" i="2"/>
  <c r="V36" i="2"/>
  <c r="W36" i="2"/>
  <c r="X36" i="2"/>
  <c r="Y36" i="2"/>
  <c r="Q37" i="2"/>
  <c r="R37" i="2"/>
  <c r="S37" i="2"/>
  <c r="T37" i="2"/>
  <c r="U37" i="2"/>
  <c r="V37" i="2"/>
  <c r="W37" i="2"/>
  <c r="X37" i="2"/>
  <c r="Y37" i="2"/>
  <c r="Q38" i="2"/>
  <c r="R38" i="2"/>
  <c r="S38" i="2"/>
  <c r="T38" i="2"/>
  <c r="U38" i="2"/>
  <c r="V38" i="2"/>
  <c r="W38" i="2"/>
  <c r="X38" i="2"/>
  <c r="Y38" i="2"/>
  <c r="Q39" i="2"/>
  <c r="R39" i="2"/>
  <c r="S39" i="2"/>
  <c r="T39" i="2"/>
  <c r="U39" i="2"/>
  <c r="V39" i="2"/>
  <c r="W39" i="2"/>
  <c r="X39" i="2"/>
  <c r="Y39" i="2"/>
  <c r="Q40" i="2"/>
  <c r="R40" i="2"/>
  <c r="S40" i="2"/>
  <c r="T40" i="2"/>
  <c r="U40" i="2"/>
  <c r="V40" i="2"/>
  <c r="W40" i="2"/>
  <c r="X40" i="2"/>
  <c r="Y40" i="2"/>
  <c r="Q41" i="2"/>
  <c r="R41" i="2"/>
  <c r="S41" i="2"/>
  <c r="T41" i="2"/>
  <c r="U41" i="2"/>
  <c r="V41" i="2"/>
  <c r="W41" i="2"/>
  <c r="X41" i="2"/>
  <c r="Y41" i="2"/>
  <c r="Q42" i="2"/>
  <c r="R42" i="2"/>
  <c r="S42" i="2"/>
  <c r="T42" i="2"/>
  <c r="U42" i="2"/>
  <c r="V42" i="2"/>
  <c r="W42" i="2"/>
  <c r="X42" i="2"/>
  <c r="Y42" i="2"/>
  <c r="Q43" i="2"/>
  <c r="R43" i="2"/>
  <c r="S43" i="2"/>
  <c r="T43" i="2"/>
  <c r="U43" i="2"/>
  <c r="V43" i="2"/>
  <c r="W43" i="2"/>
  <c r="X43" i="2"/>
  <c r="Y43" i="2"/>
  <c r="Q44" i="2"/>
  <c r="R44" i="2"/>
  <c r="S44" i="2"/>
  <c r="T44" i="2"/>
  <c r="U44" i="2"/>
  <c r="V44" i="2"/>
  <c r="W44" i="2"/>
  <c r="X44" i="2"/>
  <c r="Y44" i="2"/>
  <c r="Q45" i="2"/>
  <c r="R45" i="2"/>
  <c r="S45" i="2"/>
  <c r="T45" i="2"/>
  <c r="U45" i="2"/>
  <c r="V45" i="2"/>
  <c r="W45" i="2"/>
  <c r="X45" i="2"/>
  <c r="Y45" i="2"/>
  <c r="Q46" i="2"/>
  <c r="R46" i="2"/>
  <c r="S46" i="2"/>
  <c r="T46" i="2"/>
  <c r="U46" i="2"/>
  <c r="V46" i="2"/>
  <c r="W46" i="2"/>
  <c r="X46" i="2"/>
  <c r="Y46" i="2"/>
  <c r="R5" i="2"/>
  <c r="S5" i="2"/>
  <c r="T5" i="2"/>
  <c r="U5" i="2"/>
  <c r="V5" i="2"/>
  <c r="W5" i="2"/>
  <c r="X5" i="2"/>
  <c r="Y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K4" i="2"/>
  <c r="J4" i="2"/>
  <c r="I4" i="2"/>
  <c r="H4" i="2"/>
  <c r="G4" i="2"/>
  <c r="F4" i="2"/>
  <c r="E4" i="2"/>
  <c r="D4" i="2"/>
  <c r="P45" i="2"/>
  <c r="C4" i="2"/>
  <c r="M17" i="4"/>
  <c r="I17" i="4" s="1"/>
  <c r="G17" i="4" s="1"/>
  <c r="H17" i="4" s="1"/>
  <c r="E17" i="4" s="1"/>
  <c r="F17" i="4" s="1"/>
  <c r="B6" i="4"/>
  <c r="B7" i="4"/>
  <c r="B8" i="4"/>
  <c r="M43" i="7" l="1" a="1"/>
  <c r="M43" i="7" s="1"/>
  <c r="M44" i="7" a="1"/>
  <c r="M44" i="7" s="1"/>
  <c r="N50" i="7"/>
  <c r="M34" i="7" a="1"/>
  <c r="M34" i="7" s="1"/>
  <c r="N36" i="7"/>
  <c r="M36" i="7" s="1" a="1"/>
  <c r="M36" i="7" s="1"/>
  <c r="N29" i="7"/>
  <c r="N30" i="7" s="1"/>
  <c r="M30" i="7" s="1" a="1"/>
  <c r="M30" i="7" s="1"/>
  <c r="M21" i="7" a="1"/>
  <c r="M21" i="7" s="1"/>
  <c r="M12" i="7" a="1"/>
  <c r="M12" i="7" s="1"/>
  <c r="N23" i="7"/>
  <c r="M23" i="7" s="1" a="1"/>
  <c r="M23" i="7" s="1"/>
  <c r="M4" i="7" a="1"/>
  <c r="M4" i="7" s="1"/>
  <c r="N14" i="7"/>
  <c r="M14" i="7" s="1" a="1"/>
  <c r="M14" i="7" s="1"/>
  <c r="N6" i="7"/>
  <c r="M6" i="7" s="1" a="1"/>
  <c r="M6" i="7" s="1"/>
  <c r="AA5" i="9"/>
  <c r="AA9" i="9"/>
  <c r="AA13" i="9"/>
  <c r="AA17" i="9"/>
  <c r="V3" i="9"/>
  <c r="V2" i="9" s="1"/>
  <c r="AA22" i="9"/>
  <c r="AA26" i="9"/>
  <c r="AA30" i="9"/>
  <c r="AA34" i="9"/>
  <c r="AA38" i="9"/>
  <c r="AA42" i="9"/>
  <c r="AA8" i="9"/>
  <c r="AA12" i="9"/>
  <c r="AA16" i="9"/>
  <c r="AA21" i="9"/>
  <c r="AA25" i="9"/>
  <c r="AA29" i="9"/>
  <c r="AA33" i="9"/>
  <c r="AA37" i="9"/>
  <c r="AA41" i="9"/>
  <c r="AA45" i="9"/>
  <c r="AA40" i="9"/>
  <c r="AA6" i="9"/>
  <c r="AA10" i="9"/>
  <c r="AA14" i="9"/>
  <c r="AA18" i="9"/>
  <c r="AA23" i="9"/>
  <c r="AA27" i="9"/>
  <c r="AA31" i="9"/>
  <c r="AA35" i="9"/>
  <c r="AA39" i="9"/>
  <c r="AA43" i="9"/>
  <c r="AA46" i="9"/>
  <c r="S20" i="9"/>
  <c r="S3" i="9" s="1"/>
  <c r="S2" i="9" s="1"/>
  <c r="W20" i="9"/>
  <c r="W3" i="9" s="1"/>
  <c r="W2" i="9" s="1"/>
  <c r="T20" i="9"/>
  <c r="T3" i="9" s="1"/>
  <c r="T2" i="9" s="1"/>
  <c r="X20" i="9"/>
  <c r="X3" i="9" s="1"/>
  <c r="X2" i="9" s="1"/>
  <c r="Q20" i="9"/>
  <c r="U20" i="9"/>
  <c r="U3" i="9" s="1"/>
  <c r="U2" i="9" s="1"/>
  <c r="Y20" i="9"/>
  <c r="Y3" i="9" s="1"/>
  <c r="Y2" i="9" s="1"/>
  <c r="R20" i="9"/>
  <c r="R3" i="9" s="1"/>
  <c r="R2" i="9" s="1"/>
  <c r="AA45" i="2"/>
  <c r="N31" i="7" l="1"/>
  <c r="M31" i="7" s="1" a="1"/>
  <c r="M31" i="7" s="1"/>
  <c r="M29" i="7" a="1"/>
  <c r="M29" i="7" s="1"/>
  <c r="N51" i="7"/>
  <c r="N52" i="7" s="1"/>
  <c r="N53" i="7" s="1"/>
  <c r="M50" i="7" a="1"/>
  <c r="M50" i="7" s="1"/>
  <c r="M45" i="7" a="1"/>
  <c r="M45" i="7" s="1"/>
  <c r="N37" i="7"/>
  <c r="M37" i="7" s="1" a="1"/>
  <c r="M37" i="7" s="1"/>
  <c r="N24" i="7"/>
  <c r="M24" i="7" s="1" a="1"/>
  <c r="M24" i="7" s="1"/>
  <c r="N15" i="7"/>
  <c r="M15" i="7" s="1" a="1"/>
  <c r="M15" i="7" s="1"/>
  <c r="N7" i="7"/>
  <c r="M7" i="7" s="1" a="1"/>
  <c r="M7" i="7" s="1"/>
  <c r="AA20" i="9"/>
  <c r="Q3" i="9"/>
  <c r="Q2" i="9" s="1"/>
  <c r="M52" i="7" l="1" a="1"/>
  <c r="M52" i="7" s="1"/>
  <c r="M51" i="7" a="1"/>
  <c r="M51" i="7" s="1"/>
  <c r="N46" i="7"/>
  <c r="M46" i="7" s="1" a="1"/>
  <c r="M46" i="7" s="1"/>
  <c r="N38" i="7"/>
  <c r="M38" i="7" s="1" a="1"/>
  <c r="M38" i="7" s="1"/>
  <c r="N25" i="7"/>
  <c r="M25" i="7" s="1" a="1"/>
  <c r="M25" i="7" s="1"/>
  <c r="N16" i="7"/>
  <c r="M16" i="7" s="1" a="1"/>
  <c r="M16" i="7" s="1"/>
  <c r="N8" i="7"/>
  <c r="M8" i="7" s="1" a="1"/>
  <c r="M8" i="7" s="1"/>
  <c r="M53" i="7" l="1" a="1"/>
  <c r="M53" i="7" s="1"/>
  <c r="N54" i="7"/>
  <c r="M54" i="7" s="1" a="1"/>
  <c r="M54" i="7" s="1"/>
  <c r="N47" i="7"/>
  <c r="M47" i="7" s="1" a="1"/>
  <c r="M47" i="7" s="1"/>
  <c r="N39" i="7"/>
  <c r="M39" i="7" s="1" a="1"/>
  <c r="M39" i="7" s="1"/>
  <c r="N26" i="7"/>
  <c r="M26" i="7" s="1" a="1"/>
  <c r="M26" i="7" s="1"/>
  <c r="N17" i="7"/>
  <c r="M17" i="7" s="1" a="1"/>
  <c r="M17" i="7" s="1"/>
  <c r="N9" i="7"/>
  <c r="M9" i="7" s="1" a="1"/>
  <c r="M9" i="7" s="1"/>
  <c r="I8" i="4"/>
  <c r="N40" i="7" l="1"/>
  <c r="M40" i="7" s="1" a="1"/>
  <c r="M40" i="7" s="1"/>
  <c r="N18" i="7"/>
  <c r="M18" i="7" s="1" a="1"/>
  <c r="M18" i="7" s="1"/>
  <c r="G8" i="4"/>
  <c r="H8" i="4" s="1"/>
  <c r="E8" i="4" s="1"/>
  <c r="F8" i="4" s="1"/>
  <c r="I24" i="4"/>
  <c r="G9" i="4"/>
  <c r="H9" i="4" s="1"/>
  <c r="E9" i="4" s="1"/>
  <c r="F9" i="4" s="1"/>
  <c r="N41" i="7" l="1"/>
  <c r="M41" i="7" s="1" a="1"/>
  <c r="M41" i="7" s="1"/>
  <c r="N19" i="7"/>
  <c r="M19" i="7" s="1" a="1"/>
  <c r="M19" i="7" s="1"/>
  <c r="C30" i="4"/>
  <c r="C29" i="4"/>
  <c r="D30" i="4"/>
  <c r="D29" i="4"/>
  <c r="P43" i="2"/>
  <c r="P16" i="2"/>
  <c r="P17" i="2"/>
  <c r="M5" i="2"/>
  <c r="P8" i="2"/>
  <c r="Q5" i="2"/>
  <c r="P5" i="2"/>
  <c r="AA8" i="2" l="1"/>
  <c r="AA43" i="2"/>
  <c r="AA17" i="2"/>
  <c r="AA16" i="2"/>
  <c r="AA5" i="2"/>
  <c r="I7" i="4"/>
  <c r="G24" i="4" s="1"/>
  <c r="I6" i="4"/>
  <c r="G6" i="4" s="1"/>
  <c r="H6" i="4" s="1"/>
  <c r="I4" i="4"/>
  <c r="I23" i="4" s="1"/>
  <c r="P23" i="2"/>
  <c r="P27" i="2"/>
  <c r="P25" i="2"/>
  <c r="P20" i="2"/>
  <c r="O20" i="2"/>
  <c r="P6" i="2"/>
  <c r="P13" i="2"/>
  <c r="P44" i="2"/>
  <c r="P26" i="2"/>
  <c r="P28" i="2"/>
  <c r="P21" i="2"/>
  <c r="G23" i="4" l="1"/>
  <c r="L30" i="4"/>
  <c r="K30" i="4"/>
  <c r="J30" i="4"/>
  <c r="H24" i="4"/>
  <c r="E24" i="4" s="1"/>
  <c r="F24" i="4" s="1"/>
  <c r="I30" i="4"/>
  <c r="G7" i="4"/>
  <c r="H7" i="4" s="1"/>
  <c r="AA23" i="2"/>
  <c r="AA27" i="2"/>
  <c r="AA25" i="2"/>
  <c r="AA6" i="2"/>
  <c r="AA13" i="2"/>
  <c r="AA44" i="2"/>
  <c r="AA26" i="2"/>
  <c r="L29" i="4" l="1"/>
  <c r="I29" i="4"/>
  <c r="K29" i="4"/>
  <c r="H30" i="4"/>
  <c r="H23" i="4"/>
  <c r="E23" i="4" s="1"/>
  <c r="F23" i="4" s="1"/>
  <c r="J29" i="4"/>
  <c r="AA20" i="2"/>
  <c r="AA21" i="2"/>
  <c r="AA28" i="2"/>
  <c r="E7" i="4"/>
  <c r="F7" i="4" s="1"/>
  <c r="G4" i="4"/>
  <c r="B4" i="4"/>
  <c r="P36" i="2"/>
  <c r="Y4" i="2"/>
  <c r="N31" i="4" l="1"/>
  <c r="N30" i="4"/>
  <c r="H29" i="4"/>
  <c r="J2" i="2"/>
  <c r="X2" i="2" s="1"/>
  <c r="X4" i="2"/>
  <c r="W4" i="2"/>
  <c r="R4" i="2"/>
  <c r="V4" i="2"/>
  <c r="S4" i="2"/>
  <c r="T4" i="2"/>
  <c r="U4" i="2"/>
  <c r="Q4" i="2"/>
  <c r="I2" i="2"/>
  <c r="W2" i="2" s="1"/>
  <c r="H4" i="4"/>
  <c r="E4" i="4" s="1"/>
  <c r="F4" i="4" s="1"/>
  <c r="E6" i="4"/>
  <c r="F6" i="4" s="1"/>
  <c r="K2" i="2"/>
  <c r="Y2" i="2" s="1"/>
  <c r="E2" i="2"/>
  <c r="S2" i="2" s="1"/>
  <c r="D2" i="2"/>
  <c r="R2" i="2" s="1"/>
  <c r="N33" i="4" l="1"/>
  <c r="Q3" i="2"/>
  <c r="AA19" i="2"/>
  <c r="AA33" i="2"/>
  <c r="P33" i="2"/>
  <c r="P19" i="2"/>
  <c r="AA15" i="2"/>
  <c r="P15" i="2"/>
  <c r="P38" i="2"/>
  <c r="AA35" i="2"/>
  <c r="P35" i="2"/>
  <c r="AA14" i="2"/>
  <c r="P14" i="2"/>
  <c r="AA10" i="2"/>
  <c r="P10" i="2"/>
  <c r="P41" i="2"/>
  <c r="AA30" i="2"/>
  <c r="P30" i="2"/>
  <c r="AA37" i="2"/>
  <c r="AA32" i="2"/>
  <c r="AA22" i="2"/>
  <c r="AA29" i="2"/>
  <c r="AA46" i="2"/>
  <c r="AA12" i="2"/>
  <c r="AA9" i="2"/>
  <c r="AA31" i="2"/>
  <c r="AA11" i="2"/>
  <c r="AA18" i="2"/>
  <c r="AA39" i="2"/>
  <c r="AA40" i="2"/>
  <c r="AA42" i="2"/>
  <c r="AA7" i="2"/>
  <c r="AA24" i="2"/>
  <c r="AA34" i="2"/>
  <c r="P37" i="2"/>
  <c r="P32" i="2"/>
  <c r="P22" i="2"/>
  <c r="P29" i="2"/>
  <c r="P46" i="2"/>
  <c r="P12" i="2"/>
  <c r="P9" i="2"/>
  <c r="P31" i="2"/>
  <c r="P11" i="2"/>
  <c r="P18" i="2"/>
  <c r="P39" i="2"/>
  <c r="P40" i="2"/>
  <c r="P42" i="2"/>
  <c r="P7" i="2"/>
  <c r="P24" i="2"/>
  <c r="P34" i="2"/>
  <c r="AA36" i="2" l="1"/>
  <c r="Q2" i="2"/>
  <c r="AA38" i="2"/>
  <c r="AA41" i="2"/>
  <c r="EN2" i="3" l="1"/>
  <c r="EO2" i="3" s="1"/>
  <c r="EP2" i="3" s="1"/>
  <c r="ER2" i="3" s="1"/>
  <c r="ES2" i="3" s="1"/>
  <c r="ET2" i="3" s="1"/>
  <c r="EV2" i="3" s="1"/>
  <c r="EW2" i="3" s="1"/>
  <c r="EX2" i="3" s="1"/>
  <c r="EZ2" i="3" s="1"/>
  <c r="FA2" i="3" s="1"/>
  <c r="FB2" i="3" s="1"/>
  <c r="FD2" i="3" s="1"/>
  <c r="FE2" i="3" s="1"/>
  <c r="FF2" i="3" s="1"/>
  <c r="FH2" i="3" s="1"/>
  <c r="FI2" i="3" s="1"/>
  <c r="FJ2" i="3" s="1"/>
  <c r="FL2" i="3" s="1"/>
  <c r="FM2" i="3" s="1"/>
  <c r="FN2" i="3" s="1"/>
  <c r="FP2" i="3" s="1"/>
  <c r="FQ2" i="3" s="1"/>
  <c r="FR2" i="3" s="1"/>
  <c r="H2" i="3"/>
  <c r="I2" i="3" s="1"/>
  <c r="J2" i="3" s="1"/>
  <c r="L2" i="3" s="1"/>
  <c r="M2" i="3" s="1"/>
  <c r="N2" i="3" s="1"/>
  <c r="P2" i="3" s="1"/>
  <c r="Q2" i="3" s="1"/>
  <c r="R2" i="3" s="1"/>
  <c r="T2" i="3" s="1"/>
  <c r="U2" i="3" s="1"/>
  <c r="V2" i="3" s="1"/>
  <c r="X2" i="3" s="1"/>
  <c r="Y2" i="3" s="1"/>
  <c r="Z2" i="3" s="1"/>
  <c r="AB2" i="3" s="1"/>
  <c r="AC2" i="3" s="1"/>
  <c r="AD2" i="3" s="1"/>
  <c r="AF2" i="3" s="1"/>
  <c r="AG2" i="3" s="1"/>
  <c r="AH2" i="3" s="1"/>
  <c r="AJ2" i="3" s="1"/>
  <c r="AK2" i="3" s="1"/>
  <c r="AL2" i="3" s="1"/>
  <c r="AN2" i="3" s="1"/>
  <c r="AO2" i="3" s="1"/>
  <c r="AP2" i="3" s="1"/>
  <c r="AR2" i="3" s="1"/>
  <c r="AS2" i="3" s="1"/>
  <c r="AT2" i="3" s="1"/>
  <c r="AV2" i="3" s="1"/>
  <c r="AW2" i="3" s="1"/>
  <c r="AX2" i="3" s="1"/>
  <c r="AZ2" i="3" s="1"/>
  <c r="BA2" i="3" s="1"/>
  <c r="BB2" i="3" s="1"/>
  <c r="BD2" i="3" s="1"/>
  <c r="BE2" i="3" s="1"/>
  <c r="BF2" i="3" s="1"/>
  <c r="BH2" i="3" s="1"/>
  <c r="BI2" i="3" s="1"/>
  <c r="BJ2" i="3" s="1"/>
  <c r="BL2" i="3" s="1"/>
  <c r="BM2" i="3" s="1"/>
  <c r="BN2" i="3" s="1"/>
  <c r="BP2" i="3" s="1"/>
  <c r="BQ2" i="3" s="1"/>
  <c r="BR2" i="3" s="1"/>
  <c r="BT2" i="3" s="1"/>
  <c r="BU2" i="3" s="1"/>
  <c r="BV2" i="3" s="1"/>
  <c r="BX2" i="3" s="1"/>
  <c r="BY2" i="3" s="1"/>
  <c r="BZ2" i="3" s="1"/>
  <c r="CB2" i="3" s="1"/>
  <c r="CC2" i="3" s="1"/>
  <c r="CD2" i="3" s="1"/>
  <c r="CF2" i="3" s="1"/>
  <c r="CG2" i="3" s="1"/>
  <c r="CH2" i="3" s="1"/>
  <c r="CJ2" i="3" s="1"/>
  <c r="CK2" i="3" s="1"/>
  <c r="CL2" i="3" s="1"/>
  <c r="CN2" i="3" s="1"/>
  <c r="CO2" i="3" s="1"/>
  <c r="CP2" i="3" s="1"/>
  <c r="CR2" i="3" s="1"/>
  <c r="CS2" i="3" s="1"/>
  <c r="CT2" i="3" s="1"/>
  <c r="CV2" i="3" s="1"/>
  <c r="CW2" i="3" s="1"/>
  <c r="CX2" i="3" s="1"/>
  <c r="CZ2" i="3" s="1"/>
  <c r="DA2" i="3" s="1"/>
  <c r="DB2" i="3" s="1"/>
  <c r="DD2" i="3" s="1"/>
  <c r="DE2" i="3" s="1"/>
  <c r="DF2" i="3" s="1"/>
  <c r="DH2" i="3" s="1"/>
  <c r="DI2" i="3" s="1"/>
  <c r="DJ2" i="3" s="1"/>
  <c r="DL2" i="3" s="1"/>
  <c r="DM2" i="3" s="1"/>
  <c r="DN2" i="3" s="1"/>
  <c r="DP2" i="3" s="1"/>
  <c r="DQ2" i="3" s="1"/>
  <c r="DR2" i="3" s="1"/>
  <c r="DT2" i="3" s="1"/>
  <c r="DU2" i="3" s="1"/>
  <c r="DV2" i="3" s="1"/>
  <c r="DX2" i="3" s="1"/>
  <c r="DY2" i="3" s="1"/>
  <c r="DZ2" i="3" s="1"/>
  <c r="EB2" i="3" s="1"/>
  <c r="EC2" i="3" s="1"/>
  <c r="ED2" i="3" s="1"/>
  <c r="EF2" i="3" s="1"/>
  <c r="EG2" i="3" s="1"/>
  <c r="EH2" i="3" s="1"/>
  <c r="EJ2" i="3" s="1"/>
  <c r="EK2" i="3" s="1"/>
  <c r="EL2" i="3" s="1"/>
  <c r="C37" i="3"/>
  <c r="C38" i="3" s="1"/>
  <c r="B36" i="3" a="1"/>
  <c r="B36" i="3" s="1"/>
  <c r="C62" i="3"/>
  <c r="B62" i="3" s="1" a="1"/>
  <c r="B62" i="3" s="1"/>
  <c r="B61" i="3" a="1"/>
  <c r="B61" i="3" s="1"/>
  <c r="C51" i="3"/>
  <c r="C52" i="3" s="1"/>
  <c r="B50" i="3" a="1"/>
  <c r="B50" i="3" s="1"/>
  <c r="C16" i="3"/>
  <c r="B16" i="3" s="1" a="1"/>
  <c r="B16" i="3" s="1"/>
  <c r="B15" i="3" a="1"/>
  <c r="B15" i="3" s="1"/>
  <c r="C27" i="3"/>
  <c r="C28" i="3" s="1"/>
  <c r="B26" i="3" a="1"/>
  <c r="B26" i="3" s="1"/>
  <c r="C6" i="3"/>
  <c r="C7" i="3" s="1"/>
  <c r="B5" i="3" a="1"/>
  <c r="B5" i="3" s="1"/>
  <c r="B51" i="3" l="1" a="1"/>
  <c r="B51" i="3" s="1"/>
  <c r="C17" i="3"/>
  <c r="C18" i="3" s="1"/>
  <c r="C19" i="3" s="1"/>
  <c r="B27" i="3" a="1"/>
  <c r="B27" i="3" s="1"/>
  <c r="C29" i="3"/>
  <c r="C30" i="3" s="1"/>
  <c r="C31" i="3" s="1"/>
  <c r="C32" i="3" s="1"/>
  <c r="B32" i="3" s="1" a="1"/>
  <c r="B32" i="3" s="1"/>
  <c r="B28" i="3" a="1"/>
  <c r="B28" i="3" s="1"/>
  <c r="B6" i="3" a="1"/>
  <c r="B6" i="3" s="1"/>
  <c r="B52" i="3" a="1"/>
  <c r="B52" i="3" s="1"/>
  <c r="C53" i="3"/>
  <c r="C54" i="3" s="1"/>
  <c r="C55" i="3" s="1"/>
  <c r="C63" i="3"/>
  <c r="C64" i="3" s="1"/>
  <c r="C65" i="3" s="1"/>
  <c r="C8" i="3"/>
  <c r="B7" i="3" a="1"/>
  <c r="B7" i="3" s="1"/>
  <c r="B54" i="3" a="1"/>
  <c r="B54" i="3" s="1"/>
  <c r="C39" i="3"/>
  <c r="B38" i="3" a="1"/>
  <c r="B38" i="3" s="1"/>
  <c r="B37" i="3" a="1"/>
  <c r="B37" i="3" s="1"/>
  <c r="B53" i="3" l="1" a="1"/>
  <c r="B53" i="3" s="1"/>
  <c r="B18" i="3" a="1"/>
  <c r="B18" i="3" s="1"/>
  <c r="B17" i="3" a="1"/>
  <c r="B17" i="3" s="1"/>
  <c r="B64" i="3" a="1"/>
  <c r="B64" i="3" s="1"/>
  <c r="B63" i="3" a="1"/>
  <c r="B63" i="3" s="1"/>
  <c r="C20" i="3"/>
  <c r="B19" i="3" a="1"/>
  <c r="B19" i="3" s="1"/>
  <c r="B29" i="3" a="1"/>
  <c r="B29" i="3" s="1"/>
  <c r="B30" i="3" a="1"/>
  <c r="B30" i="3" s="1"/>
  <c r="B31" i="3" a="1"/>
  <c r="B31" i="3" s="1"/>
  <c r="B39" i="3" a="1"/>
  <c r="B39" i="3" s="1"/>
  <c r="C40" i="3"/>
  <c r="C66" i="3"/>
  <c r="B65" i="3" a="1"/>
  <c r="B65" i="3" s="1"/>
  <c r="B55" i="3" a="1"/>
  <c r="B55" i="3" s="1"/>
  <c r="C56" i="3"/>
  <c r="B8" i="3" a="1"/>
  <c r="B8" i="3" s="1"/>
  <c r="C9" i="3"/>
  <c r="C21" i="3" l="1"/>
  <c r="B20" i="3" a="1"/>
  <c r="B20" i="3" s="1"/>
  <c r="B66" i="3" a="1"/>
  <c r="B66" i="3" s="1"/>
  <c r="C67" i="3"/>
  <c r="C10" i="3"/>
  <c r="B9" i="3" a="1"/>
  <c r="B9" i="3" s="1"/>
  <c r="B56" i="3" a="1"/>
  <c r="B56" i="3" s="1"/>
  <c r="C57" i="3"/>
  <c r="B57" i="3" s="1" a="1"/>
  <c r="B57" i="3" s="1"/>
  <c r="B40" i="3" a="1"/>
  <c r="B40" i="3" s="1"/>
  <c r="C41" i="3"/>
  <c r="C22" i="3" l="1"/>
  <c r="B22" i="3" s="1" a="1"/>
  <c r="B22" i="3" s="1"/>
  <c r="B21" i="3" a="1"/>
  <c r="B21" i="3" s="1"/>
  <c r="C42" i="3"/>
  <c r="B41" i="3" a="1"/>
  <c r="B41" i="3" s="1"/>
  <c r="C68" i="3"/>
  <c r="B68" i="3" s="1" a="1"/>
  <c r="B68" i="3" s="1"/>
  <c r="B67" i="3" a="1"/>
  <c r="B67" i="3" s="1"/>
  <c r="C11" i="3"/>
  <c r="B11" i="3" s="1" a="1"/>
  <c r="B11" i="3" s="1"/>
  <c r="B10" i="3" a="1"/>
  <c r="B10" i="3" s="1"/>
  <c r="C43" i="3" l="1"/>
  <c r="B42" i="3" a="1"/>
  <c r="B42" i="3" s="1"/>
  <c r="B43" i="3" l="1" a="1"/>
  <c r="B43" i="3" s="1"/>
  <c r="C44" i="3"/>
  <c r="B44" i="3" l="1" a="1"/>
  <c r="B44" i="3" s="1"/>
  <c r="C45" i="3"/>
  <c r="C46" i="3" l="1"/>
  <c r="B46" i="3" s="1" a="1"/>
  <c r="B46" i="3" s="1"/>
  <c r="B45" i="3" a="1"/>
  <c r="B4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<sst xmlns="http://schemas.openxmlformats.org/spreadsheetml/2006/main" count="843" uniqueCount="299">
  <si>
    <t>Datum</t>
  </si>
  <si>
    <t>Start</t>
  </si>
  <si>
    <t>Dauer in St.</t>
  </si>
  <si>
    <t>14-20 uur  (een nacht)</t>
  </si>
  <si>
    <t>Fertig! Bon appétit.</t>
  </si>
  <si>
    <t>15-20 Std</t>
  </si>
  <si>
    <t>Fertig!</t>
  </si>
  <si>
    <t>60-75 min</t>
  </si>
  <si>
    <t>Name</t>
  </si>
  <si>
    <t>Amount</t>
  </si>
  <si>
    <t>SUN</t>
  </si>
  <si>
    <t>SAT</t>
  </si>
  <si>
    <t>FRI</t>
  </si>
  <si>
    <t>Zout</t>
  </si>
  <si>
    <t>Dinkel</t>
  </si>
  <si>
    <t>Boter</t>
  </si>
  <si>
    <t>Suiker</t>
  </si>
  <si>
    <t>Ei</t>
  </si>
  <si>
    <t>Melk</t>
  </si>
  <si>
    <t>Walnoten</t>
  </si>
  <si>
    <t>Brood</t>
  </si>
  <si>
    <t>Bakdag</t>
  </si>
  <si>
    <t>Zaterdag</t>
  </si>
  <si>
    <t>Marmorkuchen</t>
  </si>
  <si>
    <t>Weight per piece (gr)</t>
  </si>
  <si>
    <t>Brezen</t>
  </si>
  <si>
    <t>Focaccia</t>
  </si>
  <si>
    <t>Weizenpuder</t>
  </si>
  <si>
    <t>Bakpoeder</t>
  </si>
  <si>
    <t>Cacaopoeder</t>
  </si>
  <si>
    <t>Gewicht ingredient (gr)</t>
  </si>
  <si>
    <t>Tot. gewicht per stuk:</t>
  </si>
  <si>
    <t>Sum ingr.</t>
  </si>
  <si>
    <t>Sum</t>
  </si>
  <si>
    <t>Kostprijs per stuk</t>
  </si>
  <si>
    <t>Water</t>
  </si>
  <si>
    <t>Havervlokken</t>
  </si>
  <si>
    <t>Honing</t>
  </si>
  <si>
    <t>Prijs/kg</t>
  </si>
  <si>
    <t>Olijfolie</t>
  </si>
  <si>
    <t>Dinkel(mischung)</t>
  </si>
  <si>
    <t>Weizen(mischung)</t>
  </si>
  <si>
    <t>Pizza</t>
  </si>
  <si>
    <t>Pizza/Focaccia</t>
  </si>
  <si>
    <t>Süßes</t>
  </si>
  <si>
    <t>Brot (ca. 750gr)</t>
  </si>
  <si>
    <t>Semmel (ca. 80gr)</t>
  </si>
  <si>
    <t>Weizen(mischung) mit Saaten/Kernen/Nüssen</t>
  </si>
  <si>
    <t>Weizen/Roggen</t>
  </si>
  <si>
    <t>Blech 40x60</t>
  </si>
  <si>
    <t>ca. 750gr</t>
  </si>
  <si>
    <t>Alle Preise ohne MwSt. für Café Lumbono.</t>
  </si>
  <si>
    <t>Tijd/extra</t>
  </si>
  <si>
    <t>Gist (vers)</t>
  </si>
  <si>
    <t>Deeg mengen, kneden</t>
  </si>
  <si>
    <t>Verdelen, vormen</t>
  </si>
  <si>
    <t>Klaar!</t>
  </si>
  <si>
    <t>Deeg mengen &amp; kneden</t>
  </si>
  <si>
    <t>Duur</t>
  </si>
  <si>
    <t>Wie</t>
  </si>
  <si>
    <t>Wat</t>
  </si>
  <si>
    <t>Stockdorf Sourdough</t>
  </si>
  <si>
    <t>Pizzaballen</t>
  </si>
  <si>
    <t>LUMBONO</t>
  </si>
  <si>
    <t>Rogge T130/1150</t>
  </si>
  <si>
    <t>Kostprijs/kg</t>
  </si>
  <si>
    <t>Tarwe T80/1050</t>
  </si>
  <si>
    <t>Tarwe T65/550</t>
  </si>
  <si>
    <t>Deeg kneden</t>
  </si>
  <si>
    <t>Start bulkrijs</t>
  </si>
  <si>
    <t>8-12 uur</t>
  </si>
  <si>
    <t>Verdelen en vormen</t>
  </si>
  <si>
    <t>Narijs</t>
  </si>
  <si>
    <t>14-20 uur</t>
  </si>
  <si>
    <t>Spelt T100/vollkorn</t>
  </si>
  <si>
    <t>Spelt T65/630</t>
  </si>
  <si>
    <t>N/A</t>
  </si>
  <si>
    <t>daarvoor starter nodig</t>
  </si>
  <si>
    <t>Total</t>
  </si>
  <si>
    <t>Echte tijd</t>
  </si>
  <si>
    <t>Gedaan</t>
  </si>
  <si>
    <t>Te doen</t>
  </si>
  <si>
    <t>Op vrijdag verwerken in deeg!</t>
  </si>
  <si>
    <t>Op donderdag maken voor vrijdag</t>
  </si>
  <si>
    <t>Op woensdag maken voor donderdag</t>
  </si>
  <si>
    <t>Op dinsdag verwerken in deeg!</t>
  </si>
  <si>
    <t>Woensdag</t>
  </si>
  <si>
    <t>Op maandag maken voor dinsdag</t>
  </si>
  <si>
    <t>Op zondag maken voor maandag</t>
  </si>
  <si>
    <t>Bulkrijs kampertemp</t>
  </si>
  <si>
    <t>Ciabatta olive</t>
  </si>
  <si>
    <t>Olijfringen (zwart)</t>
  </si>
  <si>
    <t>Tarwe Tipo 0</t>
  </si>
  <si>
    <t>Tarwe Tipo 00</t>
  </si>
  <si>
    <t>Tarwe T150/volkoren</t>
  </si>
  <si>
    <t>Vanillepasta</t>
  </si>
  <si>
    <t>Semola/Durum/Hartweizen</t>
  </si>
  <si>
    <t>Tarwe T45/405</t>
  </si>
  <si>
    <t>Rogge T85/997</t>
  </si>
  <si>
    <t>Rum</t>
  </si>
  <si>
    <t>Zitronepasta</t>
  </si>
  <si>
    <t>Hagelzucker</t>
  </si>
  <si>
    <t>Amandel (geschaafd)</t>
  </si>
  <si>
    <t>Rozemarijn (gedroogd)</t>
  </si>
  <si>
    <t>Oregano (gedroogd)</t>
  </si>
  <si>
    <t>Sesam (zwart)</t>
  </si>
  <si>
    <t>Ciabatta naturale</t>
  </si>
  <si>
    <t>Rogge T170/Vollkorn</t>
  </si>
  <si>
    <t>SL</t>
  </si>
  <si>
    <t>LL</t>
  </si>
  <si>
    <t>T80/1050</t>
  </si>
  <si>
    <t>T65/550</t>
  </si>
  <si>
    <t>aantal</t>
  </si>
  <si>
    <t>LL/SL totaal</t>
  </si>
  <si>
    <t>Acerola poeder</t>
  </si>
  <si>
    <t>Bio appels</t>
  </si>
  <si>
    <t>Kaneel</t>
  </si>
  <si>
    <t>Jus d'orange</t>
  </si>
  <si>
    <t>16-20 uur</t>
  </si>
  <si>
    <t>Start bulkrijs (180min)</t>
  </si>
  <si>
    <t>Vouwen 1@45</t>
  </si>
  <si>
    <t>Vouwen 1@90, rest bulkrijs</t>
  </si>
  <si>
    <t>Start narijs (koel overnacht)</t>
  </si>
  <si>
    <t>Meel</t>
  </si>
  <si>
    <t xml:space="preserve">Desem </t>
  </si>
  <si>
    <t>Totaal</t>
  </si>
  <si>
    <t>Totaal check</t>
  </si>
  <si>
    <t>Bakken (225°C, 45min)</t>
  </si>
  <si>
    <t>Pizzaballen (5x 252gr)</t>
  </si>
  <si>
    <t>Baby brioche</t>
  </si>
  <si>
    <t>Bakken (250°C, 20min)</t>
  </si>
  <si>
    <t>Frühstückssemmel</t>
  </si>
  <si>
    <t>LL door 5 delen</t>
  </si>
  <si>
    <t>SL door 4 delen</t>
  </si>
  <si>
    <t>Bagels</t>
  </si>
  <si>
    <t>Focaccia Fulvio (2x 30x40)</t>
  </si>
  <si>
    <t>meel</t>
  </si>
  <si>
    <t>water</t>
  </si>
  <si>
    <t>Big Brioche</t>
  </si>
  <si>
    <t>Roggenmisch</t>
  </si>
  <si>
    <t>Stockdorf SD</t>
  </si>
  <si>
    <t>Seeded SD</t>
  </si>
  <si>
    <t>Zadenmelange</t>
  </si>
  <si>
    <t>Focaccia naturale</t>
  </si>
  <si>
    <t>Focaccia pomodorini</t>
  </si>
  <si>
    <t>Bio mini tomaten</t>
  </si>
  <si>
    <t>Blechpizza (abends) (1 blech = 2x 252gr)</t>
  </si>
  <si>
    <t>Zadenmelange voorbereiden</t>
  </si>
  <si>
    <t>Vb, mengen, autolyse (60min)</t>
  </si>
  <si>
    <t>Instussen vulling voorbereiden</t>
  </si>
  <si>
    <t>Mengen, kneden, inwas</t>
  </si>
  <si>
    <t>Start bulk (40min)</t>
  </si>
  <si>
    <t>1x@20 &amp; rijs</t>
  </si>
  <si>
    <t>1x@40 &amp; rijs (koel overnacht)</t>
  </si>
  <si>
    <t>Narijs (evt. 20min)</t>
  </si>
  <si>
    <t>Ciabatta</t>
  </si>
  <si>
    <t>Vb, mengen, kneden</t>
  </si>
  <si>
    <t>Start bulkrijs (kampertemp) 120min</t>
  </si>
  <si>
    <t>Bakken (240°C, 20min)</t>
  </si>
  <si>
    <t>Bulkrijs (overnacht 4-7°C)</t>
  </si>
  <si>
    <t>Verdelen, vormen, narijs (30min)</t>
  </si>
  <si>
    <t>Deco &amp; narijs (30 min)</t>
  </si>
  <si>
    <t>Bakken (30min, 180-&gt;160)</t>
  </si>
  <si>
    <t>Voordeeg mengen &amp; rijzen</t>
  </si>
  <si>
    <t>Start bulkrijs (30min)</t>
  </si>
  <si>
    <t>Bakken (250-&gt;210°C, 55min)</t>
  </si>
  <si>
    <t>Start bulkrijs (kampertemp) 30min</t>
  </si>
  <si>
    <t>TU</t>
  </si>
  <si>
    <t>12-16 uur</t>
  </si>
  <si>
    <t>WE</t>
  </si>
  <si>
    <t>Wheat &amp; Rye</t>
  </si>
  <si>
    <r>
      <t>Start narijs (</t>
    </r>
    <r>
      <rPr>
        <sz val="12"/>
        <color rgb="FFC00000"/>
        <rFont val="Calibri (Body)"/>
      </rPr>
      <t>koel</t>
    </r>
    <r>
      <rPr>
        <sz val="12"/>
        <color theme="1"/>
        <rFont val="Aptos Narrow"/>
        <family val="2"/>
        <scheme val="minor"/>
      </rPr>
      <t xml:space="preserve"> </t>
    </r>
    <r>
      <rPr>
        <sz val="12"/>
        <color rgb="FFC00000"/>
        <rFont val="Calibri (Body)"/>
      </rPr>
      <t>overnacht</t>
    </r>
    <r>
      <rPr>
        <sz val="12"/>
        <color theme="1"/>
        <rFont val="Aptos Narrow"/>
        <family val="2"/>
        <scheme val="minor"/>
      </rPr>
      <t>)</t>
    </r>
  </si>
  <si>
    <t>Start vormijs (25min)</t>
  </si>
  <si>
    <t>Delivery</t>
  </si>
  <si>
    <r>
      <t>1x@40 &amp; rijs (</t>
    </r>
    <r>
      <rPr>
        <sz val="12"/>
        <color rgb="FFC00000"/>
        <rFont val="Calibri (Body)"/>
      </rPr>
      <t>koel overnacht</t>
    </r>
    <r>
      <rPr>
        <sz val="12"/>
        <rFont val="Aptos Narrow"/>
        <family val="2"/>
        <scheme val="minor"/>
      </rPr>
      <t>)</t>
    </r>
  </si>
  <si>
    <t>Focaccia LUMBONO</t>
  </si>
  <si>
    <t>Deco</t>
  </si>
  <si>
    <t>Focaccia SMITTENBROT</t>
  </si>
  <si>
    <r>
      <t>Start bulkrijs (</t>
    </r>
    <r>
      <rPr>
        <sz val="12"/>
        <color rgb="FFC00000"/>
        <rFont val="Aptos Narrow (Body)"/>
      </rPr>
      <t>koel overnacht</t>
    </r>
    <r>
      <rPr>
        <sz val="12"/>
        <color theme="1"/>
        <rFont val="Aptos Narrow"/>
        <family val="2"/>
        <scheme val="minor"/>
      </rPr>
      <t>)</t>
    </r>
  </si>
  <si>
    <t>10-20 uur</t>
  </si>
  <si>
    <t>Vormen + start narijs (kamertemp) 60min</t>
  </si>
  <si>
    <t>starter</t>
  </si>
  <si>
    <t>Brot</t>
  </si>
  <si>
    <t>Dinkelsemmel</t>
  </si>
  <si>
    <t>VB, deeg mengen &amp; autolyse</t>
  </si>
  <si>
    <t>Mengen &amp; kneden</t>
  </si>
  <si>
    <t>Bulkrijs</t>
  </si>
  <si>
    <t>Vouwen @1 &amp; rijs</t>
  </si>
  <si>
    <t>Verdelen &amp; voorvormen</t>
  </si>
  <si>
    <t>Vormrijs</t>
  </si>
  <si>
    <t>30-35 min</t>
  </si>
  <si>
    <t>Def. vormen</t>
  </si>
  <si>
    <t>Baguette trad.</t>
  </si>
  <si>
    <t>Uit de koeling halen, in witte krat</t>
  </si>
  <si>
    <t>Vormen in blik, 60min narijs</t>
  </si>
  <si>
    <t>Bakken (240°C, 22min)</t>
  </si>
  <si>
    <t>Evt. vulling voorbereiden</t>
  </si>
  <si>
    <t>LL rogge</t>
  </si>
  <si>
    <t>Hoeveel</t>
  </si>
  <si>
    <t>Waarin</t>
  </si>
  <si>
    <t>Ok</t>
  </si>
  <si>
    <t>Ja, kan net</t>
  </si>
  <si>
    <t>Roggenmisch voordeeg</t>
  </si>
  <si>
    <t>Leeg gewicht (zonder deksel)</t>
  </si>
  <si>
    <t>Kitchenaid silver</t>
  </si>
  <si>
    <t>Glazen pot Calve pindakaas</t>
  </si>
  <si>
    <t>Bakken (go, 225°C, 45min)</t>
  </si>
  <si>
    <t>Bakken (go, 250°C, 20min)</t>
  </si>
  <si>
    <t>Bakken (go, 180°C-&gt;160°C, 30min)</t>
  </si>
  <si>
    <t>Produkt</t>
  </si>
  <si>
    <t>-</t>
  </si>
  <si>
    <t>Narijs (20min)</t>
  </si>
  <si>
    <t>Woensdagochtend (De Realistische Oven-Flow)</t>
  </si>
  <si>
    <t>05:00 - Start met de Ciabatta</t>
  </si>
  <si>
    <t>Grote oven (GO) is via de timer al 260°C.</t>
  </si>
  <si>
    <t>Haal het Ciabatta deeg uit de koelkast. Direct verdelen en vormen (dit kost je zo'n 5 tot 10 minuten).</t>
  </si>
  <si>
    <r>
      <t xml:space="preserve">Start de </t>
    </r>
    <r>
      <rPr>
        <b/>
        <sz val="14"/>
        <color rgb="FF303030"/>
        <rFont val="Google Sans Text"/>
      </rPr>
      <t>20 minuten narijs</t>
    </r>
    <r>
      <rPr>
        <sz val="14"/>
        <color rgb="FF303030"/>
        <rFont val="Google Sans Text"/>
      </rPr>
      <t>.</t>
    </r>
  </si>
  <si>
    <t>05:10 - Start Focaccia deeg (Klanten)</t>
  </si>
  <si>
    <r>
      <t xml:space="preserve">Terwijl de Ciabatta rijst, draai jij het Focaccia deeg (totaal </t>
    </r>
    <r>
      <rPr>
        <b/>
        <sz val="14"/>
        <color rgb="FF303030"/>
        <rFont val="Google Sans Text"/>
      </rPr>
      <t>9 minuten</t>
    </r>
    <r>
      <rPr>
        <sz val="14"/>
        <color rgb="FF303030"/>
        <rFont val="Google Sans Text"/>
      </rPr>
      <t xml:space="preserve"> werk volgens de stappen 2+1+1+5 min).</t>
    </r>
  </si>
  <si>
    <t>05:19 - Focaccia Bulkrijs</t>
  </si>
  <si>
    <t>Start de bulkrijs van 120 minuten voor de Focaccia.</t>
  </si>
  <si>
    <t>05:30 - Bakken 1: Ciabatta (GO)</t>
  </si>
  <si>
    <t>De Ciabatta narijs zit erop. Eventueel 1x insnijden en inschieten (260°C ➔ 250°C, 20 min).</t>
  </si>
  <si>
    <t>05:50 - Bakken 2: Baguettes (GO)</t>
  </si>
  <si>
    <r>
      <t xml:space="preserve">Ciabatta eruit. Baguettes insnijden (1, 3 of 5x) en inschieten (255°C ➔ 235°C, 22 min). </t>
    </r>
    <r>
      <rPr>
        <i/>
        <sz val="14"/>
        <color rgb="FF303030"/>
        <rFont val="Google Sans Text"/>
      </rPr>
      <t>(De 5 minuutjes speling na de Ciabatta geven je tijd om rustig in te snijden en de oven weer een tikje omhoog te laten komen)</t>
    </r>
    <r>
      <rPr>
        <sz val="14"/>
        <color rgb="FF303030"/>
        <rFont val="Google Sans Text"/>
      </rPr>
      <t>.</t>
    </r>
  </si>
  <si>
    <t>06:15 - Bakken 3: Stockdorf SD (GO)</t>
  </si>
  <si>
    <t>Baguettes eruit. Stockdorf SD vierkant insnijden en inschieten (255°C ➔ 225°C, 45 min).</t>
  </si>
  <si>
    <t>07:05 - Bakken 4: Dinkel &amp; Wheat/Rye (GO)</t>
  </si>
  <si>
    <t>Stockdorf eruit. Dinkel en Wheat &amp; Rye samen inschieten (250°C ➔ 210/220°C, 45 tot 55 min).</t>
  </si>
  <si>
    <t>07:19 - Vormen &amp; Narijs</t>
  </si>
  <si>
    <r>
      <t xml:space="preserve">De 120 min bulkrijs van de Focaccia is exact nu klaar. Vorm het deeg in de bakblikken. Start </t>
    </r>
    <r>
      <rPr>
        <b/>
        <sz val="14"/>
        <color rgb="FF303030"/>
        <rFont val="Google Sans Text"/>
      </rPr>
      <t>60 min narijs</t>
    </r>
    <r>
      <rPr>
        <sz val="14"/>
        <color rgb="FF303030"/>
        <rFont val="Google Sans Text"/>
      </rPr>
      <t xml:space="preserve"> op kamertemperatuur.</t>
    </r>
  </si>
  <si>
    <r>
      <t xml:space="preserve">Aansluitend direct de Brioche vormen en de </t>
    </r>
    <r>
      <rPr>
        <b/>
        <sz val="14"/>
        <color rgb="FF303030"/>
        <rFont val="Google Sans Text"/>
      </rPr>
      <t>60 min narijs</t>
    </r>
    <r>
      <rPr>
        <sz val="14"/>
        <color rgb="FF303030"/>
        <rFont val="Google Sans Text"/>
      </rPr>
      <t xml:space="preserve"> starten.</t>
    </r>
  </si>
  <si>
    <t>08:00 - GO afkoelen &amp; Ovens klaarzetten</t>
  </si>
  <si>
    <t>Dinkel en Wheat/Rye uit de oven (zij hebben er nu 55 min ingezeten).</t>
  </si>
  <si>
    <t>Zet de deur van de GO open om af te koelen naar 180°C voor de brioche.</t>
  </si>
  <si>
    <t>Zet de Huishoudoven (HO) aan op 240°C.</t>
  </si>
  <si>
    <t>08:15 - Lumbono Levering</t>
  </si>
  <si>
    <t>Je rent even naar het café met de bevroren/voorgebakken semmeln en de focaccia die je gisteravond al gebakken hebt.</t>
  </si>
  <si>
    <t>08:20 - Focaccia &amp; Brioche Deco</t>
  </si>
  <si>
    <t>Salamoia over de focaccia verdelen.</t>
  </si>
  <si>
    <t>Brioche afstrijken met eistrijk, amandelschaafsel en hagelsuiker.</t>
  </si>
  <si>
    <t>08:25 - Bakken 5: Focaccia (HO) &amp; Brioche (GO)</t>
  </si>
  <si>
    <t>Focaccia inschieten in de huishoudoven (240°C, 20 min).</t>
  </si>
  <si>
    <t>Brioche inschieten in de grote oven (180°C, 30 min, laatste 10 min terug naar 160°C).</t>
  </si>
  <si>
    <t>Ja</t>
  </si>
  <si>
    <t>SL tarwe</t>
  </si>
  <si>
    <t>Joghurtemmertje</t>
  </si>
  <si>
    <t>mogelijke duur</t>
  </si>
  <si>
    <t>alu bowl groot</t>
  </si>
  <si>
    <t>Glazen po hoog (acciughe?)</t>
  </si>
  <si>
    <t>Ja, makkelijk, pot half vol na rijs</t>
  </si>
  <si>
    <t>Ja, 3/4 vol na rijs</t>
  </si>
  <si>
    <t>hoge witte bak</t>
  </si>
  <si>
    <t>lage witte bak</t>
  </si>
  <si>
    <t>Baguette</t>
  </si>
  <si>
    <t>Start autolyse (60min)</t>
  </si>
  <si>
    <t>Start bulkrijs (40min)</t>
  </si>
  <si>
    <t>Vouwen 1@20 &amp; rijs</t>
  </si>
  <si>
    <t>Afwegen, klaarzetten</t>
  </si>
  <si>
    <t>Mengen, kneden</t>
  </si>
  <si>
    <t>Vb, mengen &amp; kneden</t>
  </si>
  <si>
    <t>Bakken (go, 240°C, 22min)</t>
  </si>
  <si>
    <t>Start narijs (22°C, 60min)</t>
  </si>
  <si>
    <t>Verdelen, voorvormen</t>
  </si>
  <si>
    <t>VB, mengen</t>
  </si>
  <si>
    <t>Deeg voor CB uit kneder</t>
  </si>
  <si>
    <t>Deeg terug in kneder, mengen, kneden, inwas</t>
  </si>
  <si>
    <t>Start bulkrijs (overnacht 4-7°C)</t>
  </si>
  <si>
    <t>Start bulkrijs (kampertemp) 20min</t>
  </si>
  <si>
    <t>Vormrijs (30min)</t>
  </si>
  <si>
    <t>Uit koelkast halen</t>
  </si>
  <si>
    <t>Narijs (30min)</t>
  </si>
  <si>
    <t>Vormen + start narijs (kamertemp) 20min</t>
  </si>
  <si>
    <t>Bakken (ko, 240°C, 2x 20min)</t>
  </si>
  <si>
    <t>Grote oven 250°C - SET TIMER start 4:00</t>
  </si>
  <si>
    <t>Pizzaballen (10x 252gr)</t>
  </si>
  <si>
    <t>SL(t)</t>
  </si>
  <si>
    <t>LL(r)</t>
  </si>
  <si>
    <t>nodig voor voordeeg</t>
  </si>
  <si>
    <t>starter LL</t>
  </si>
  <si>
    <t>nodig voor deeg</t>
  </si>
  <si>
    <t>Stiff Levain tarwe</t>
  </si>
  <si>
    <t>Liquide Levain rogge</t>
  </si>
  <si>
    <t>Starter per stuk</t>
  </si>
  <si>
    <t>Starter totaal</t>
  </si>
  <si>
    <t>Aantal stuks besteld</t>
  </si>
  <si>
    <t>Maandag/donderdag</t>
  </si>
  <si>
    <t>Dinsdag/vrijdag</t>
  </si>
  <si>
    <t>Zondag/woensdag</t>
  </si>
  <si>
    <t>Totaal LL</t>
  </si>
  <si>
    <t>Totaal SL</t>
  </si>
  <si>
    <t>Brioche</t>
  </si>
  <si>
    <t>Focaccia Naturale</t>
  </si>
  <si>
    <t>Focaccia Pomodorini</t>
  </si>
  <si>
    <t>Spelt Sourdough</t>
  </si>
  <si>
    <t>Ciabatta Olive &amp; Origano</t>
  </si>
  <si>
    <t>Ciabatta Naturale</t>
  </si>
  <si>
    <t>Rye &amp; Wheat Sourdough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</si>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</sst>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d/m/yyyy;@"/>
    <numFmt numFmtId="166" formatCode="0.0"/>
    <numFmt numFmtId="167" formatCode="[$]hh:mm;@" x16r2:formatCode16="[$-en-DE,1]hh:mm;@"/>
  </numFmts>
  <fonts count="5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 tint="0.499984740745262"/>
      <name val="Aptos Narrow"/>
      <scheme val="minor"/>
    </font>
    <font>
      <sz val="12"/>
      <name val="Aptos Narrow"/>
      <scheme val="minor"/>
    </font>
    <font>
      <i/>
      <sz val="12"/>
      <color theme="1"/>
      <name val="Aptos Narrow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Aptos Narrow"/>
      <family val="2"/>
      <scheme val="minor"/>
    </font>
    <font>
      <sz val="12"/>
      <color theme="1" tint="0.499984740745262"/>
      <name val="Calibri"/>
      <family val="2"/>
    </font>
    <font>
      <b/>
      <sz val="12"/>
      <color theme="1" tint="0.499984740745262"/>
      <name val="Calibri"/>
      <family val="2"/>
    </font>
    <font>
      <b/>
      <sz val="12"/>
      <color rgb="FF00B050"/>
      <name val="Aptos Narrow"/>
      <scheme val="minor"/>
    </font>
    <font>
      <b/>
      <sz val="16"/>
      <name val="Aptos Narrow"/>
      <scheme val="minor"/>
    </font>
    <font>
      <b/>
      <sz val="12"/>
      <color theme="7"/>
      <name val="Calibri"/>
      <family val="2"/>
    </font>
    <font>
      <sz val="12"/>
      <color theme="7"/>
      <name val="Calibri"/>
      <family val="2"/>
    </font>
    <font>
      <b/>
      <sz val="12"/>
      <color rgb="FF0070C0"/>
      <name val="Calibri"/>
      <family val="2"/>
    </font>
    <font>
      <sz val="12"/>
      <color rgb="FF0070C0"/>
      <name val="Calibri"/>
      <family val="2"/>
    </font>
    <font>
      <sz val="12"/>
      <color theme="6"/>
      <name val="Aptos Narrow"/>
      <scheme val="minor"/>
    </font>
    <font>
      <sz val="10"/>
      <color theme="1" tint="0.499984740745262"/>
      <name val="Aptos Narrow"/>
      <scheme val="minor"/>
    </font>
    <font>
      <b/>
      <sz val="10"/>
      <color theme="1" tint="0.499984740745262"/>
      <name val="Aptos Narrow"/>
      <scheme val="minor"/>
    </font>
    <font>
      <sz val="12"/>
      <color theme="1" tint="0.499984740745262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i/>
      <sz val="11"/>
      <color theme="1" tint="0.499984740745262"/>
      <name val="Aptos Narrow"/>
      <scheme val="minor"/>
    </font>
    <font>
      <b/>
      <sz val="11"/>
      <color theme="0"/>
      <name val="Aptos Narrow"/>
      <scheme val="minor"/>
    </font>
    <font>
      <b/>
      <sz val="11"/>
      <name val="Aptos Narrow"/>
      <scheme val="minor"/>
    </font>
    <font>
      <sz val="11"/>
      <name val="Aptos Narrow"/>
      <scheme val="minor"/>
    </font>
    <font>
      <b/>
      <sz val="12"/>
      <color theme="6"/>
      <name val="Calibri"/>
      <family val="2"/>
    </font>
    <font>
      <sz val="12"/>
      <color rgb="FFC00000"/>
      <name val="Calibri (Body)"/>
    </font>
    <font>
      <sz val="12"/>
      <color rgb="FFC00000"/>
      <name val="Aptos Narrow (Body)"/>
    </font>
    <font>
      <b/>
      <sz val="12"/>
      <color theme="1"/>
      <name val="Aptos Narrow"/>
      <family val="2"/>
      <scheme val="minor"/>
    </font>
    <font>
      <sz val="12"/>
      <color theme="9" tint="0.79998168889431442"/>
      <name val="Calibri"/>
      <family val="2"/>
    </font>
    <font>
      <b/>
      <sz val="12"/>
      <name val="Aptos Narrow"/>
      <family val="2"/>
      <scheme val="minor"/>
    </font>
    <font>
      <b/>
      <sz val="12"/>
      <name val="Aptos Narrow"/>
      <scheme val="minor"/>
    </font>
    <font>
      <sz val="12"/>
      <color theme="1"/>
      <name val="Aptos Narrow"/>
      <scheme val="minor"/>
    </font>
    <font>
      <sz val="14"/>
      <color rgb="FF303030"/>
      <name val="Google Sans Text"/>
    </font>
    <font>
      <b/>
      <sz val="14"/>
      <color rgb="FF303030"/>
      <name val="Google Sans Text"/>
    </font>
    <font>
      <i/>
      <sz val="14"/>
      <color rgb="FF303030"/>
      <name val="Google Sans Text"/>
    </font>
    <font>
      <b/>
      <sz val="12"/>
      <color theme="1" tint="0.499984740745262"/>
      <name val="Aptos Narrow"/>
      <scheme val="minor"/>
    </font>
    <font>
      <sz val="12"/>
      <color theme="1" tint="0.499984740745262"/>
      <name val="Aptos Narrow"/>
      <scheme val="minor"/>
    </font>
    <font>
      <sz val="12"/>
      <color theme="0"/>
      <name val="Aptos Narrow"/>
      <scheme val="minor"/>
    </font>
    <font>
      <sz val="12"/>
      <color theme="1" tint="0.249977111117893"/>
      <name val="Aptos Narrow"/>
      <scheme val="minor"/>
    </font>
    <font>
      <sz val="12"/>
      <color theme="7"/>
      <name val="Aptos Narrow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48A9A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 tint="0.749992370372631"/>
      </left>
      <right style="thin">
        <color theme="1" tint="0.749992370372631"/>
      </right>
      <top style="thin">
        <color theme="1" tint="0.749992370372631"/>
      </top>
      <bottom style="thin">
        <color theme="1" tint="0.749992370372631"/>
      </bottom>
      <diagonal/>
    </border>
    <border>
      <left style="thin">
        <color theme="1" tint="0.749992370372631"/>
      </left>
      <right style="thin">
        <color theme="1" tint="0.749992370372631"/>
      </right>
      <top style="thin">
        <color theme="1" tint="0.749992370372631"/>
      </top>
      <bottom/>
      <diagonal/>
    </border>
    <border>
      <left style="thin">
        <color theme="1" tint="0.749992370372631"/>
      </left>
      <right style="thin">
        <color theme="1" tint="0.749992370372631"/>
      </right>
      <top/>
      <bottom style="thin">
        <color theme="1" tint="0.749992370372631"/>
      </bottom>
      <diagonal/>
    </border>
    <border>
      <left style="thin">
        <color theme="1" tint="0.749992370372631"/>
      </left>
      <right style="thin">
        <color theme="1" tint="0.749992370372631"/>
      </right>
      <top/>
      <bottom/>
      <diagonal/>
    </border>
    <border>
      <left style="thin">
        <color theme="1" tint="0.749992370372631"/>
      </left>
      <right/>
      <top style="thin">
        <color theme="1" tint="0.749992370372631"/>
      </top>
      <bottom/>
      <diagonal/>
    </border>
    <border>
      <left/>
      <right style="thin">
        <color theme="1" tint="0.749992370372631"/>
      </right>
      <top style="thin">
        <color theme="1" tint="0.749992370372631"/>
      </top>
      <bottom/>
      <diagonal/>
    </border>
    <border>
      <left style="thin">
        <color theme="1" tint="0.749992370372631"/>
      </left>
      <right/>
      <top/>
      <bottom/>
      <diagonal/>
    </border>
    <border>
      <left/>
      <right style="thin">
        <color theme="1" tint="0.749992370372631"/>
      </right>
      <top/>
      <bottom/>
      <diagonal/>
    </border>
    <border>
      <left/>
      <right style="thin">
        <color theme="1" tint="0.749992370372631"/>
      </right>
      <top style="thin">
        <color theme="1" tint="0.749992370372631"/>
      </top>
      <bottom style="thin">
        <color theme="1" tint="0.74999237037263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double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9">
    <xf numFmtId="0" fontId="0" fillId="0" borderId="0" xfId="0"/>
    <xf numFmtId="0" fontId="2" fillId="3" borderId="0" xfId="0" applyFont="1" applyFill="1"/>
    <xf numFmtId="0" fontId="3" fillId="0" borderId="0" xfId="0" applyFont="1"/>
    <xf numFmtId="0" fontId="4" fillId="0" borderId="0" xfId="0" applyFont="1"/>
    <xf numFmtId="17" fontId="4" fillId="0" borderId="0" xfId="0" applyNumberFormat="1" applyFont="1"/>
    <xf numFmtId="0" fontId="4" fillId="0" borderId="0" xfId="0" applyFont="1" applyAlignment="1">
      <alignment horizontal="center"/>
    </xf>
    <xf numFmtId="43" fontId="4" fillId="0" borderId="0" xfId="1" applyFont="1" applyAlignment="1">
      <alignment horizontal="center"/>
    </xf>
    <xf numFmtId="43" fontId="4" fillId="0" borderId="0" xfId="1" applyFont="1"/>
    <xf numFmtId="0" fontId="3" fillId="0" borderId="1" xfId="0" applyFont="1" applyBorder="1"/>
    <xf numFmtId="0" fontId="4" fillId="0" borderId="1" xfId="0" applyFont="1" applyBorder="1"/>
    <xf numFmtId="14" fontId="5" fillId="2" borderId="1" xfId="0" applyNumberFormat="1" applyFont="1" applyFill="1" applyBorder="1"/>
    <xf numFmtId="0" fontId="6" fillId="3" borderId="0" xfId="0" applyFont="1" applyFill="1"/>
    <xf numFmtId="0" fontId="6" fillId="3" borderId="0" xfId="0" applyFont="1" applyFill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20" fontId="5" fillId="2" borderId="1" xfId="0" applyNumberFormat="1" applyFont="1" applyFill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4" fillId="4" borderId="1" xfId="0" applyNumberFormat="1" applyFont="1" applyFill="1" applyBorder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20" fontId="3" fillId="5" borderId="0" xfId="0" applyNumberFormat="1" applyFont="1" applyFill="1" applyAlignment="1">
      <alignment horizontal="center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8" fillId="0" borderId="0" xfId="0" applyFont="1"/>
    <xf numFmtId="44" fontId="0" fillId="0" borderId="0" xfId="2" applyFont="1"/>
    <xf numFmtId="0" fontId="8" fillId="0" borderId="2" xfId="0" applyFont="1" applyBorder="1"/>
    <xf numFmtId="0" fontId="9" fillId="0" borderId="0" xfId="0" applyFont="1" applyAlignment="1">
      <alignment horizontal="center"/>
    </xf>
    <xf numFmtId="0" fontId="0" fillId="0" borderId="2" xfId="0" applyBorder="1"/>
    <xf numFmtId="0" fontId="8" fillId="0" borderId="0" xfId="0" applyFont="1" applyAlignment="1">
      <alignment horizontal="center"/>
    </xf>
    <xf numFmtId="44" fontId="0" fillId="0" borderId="2" xfId="2" applyFont="1" applyBorder="1" applyAlignment="1">
      <alignment horizontal="center"/>
    </xf>
    <xf numFmtId="44" fontId="8" fillId="0" borderId="0" xfId="2" applyFont="1" applyBorder="1" applyAlignment="1">
      <alignment horizontal="center"/>
    </xf>
    <xf numFmtId="44" fontId="0" fillId="0" borderId="0" xfId="2" applyFont="1" applyBorder="1" applyAlignment="1">
      <alignment horizont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0" fontId="0" fillId="0" borderId="2" xfId="0" applyBorder="1" applyAlignment="1">
      <alignment wrapText="1"/>
    </xf>
    <xf numFmtId="0" fontId="11" fillId="0" borderId="0" xfId="0" applyFont="1" applyAlignment="1">
      <alignment horizontal="right"/>
    </xf>
    <xf numFmtId="165" fontId="11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17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2" fillId="7" borderId="0" xfId="0" applyFont="1" applyFill="1"/>
    <xf numFmtId="0" fontId="2" fillId="7" borderId="8" xfId="0" applyFont="1" applyFill="1" applyBorder="1"/>
    <xf numFmtId="0" fontId="2" fillId="7" borderId="9" xfId="0" applyFont="1" applyFill="1" applyBorder="1"/>
    <xf numFmtId="164" fontId="0" fillId="0" borderId="2" xfId="1" applyNumberFormat="1" applyFont="1" applyBorder="1"/>
    <xf numFmtId="1" fontId="0" fillId="0" borderId="2" xfId="1" applyNumberFormat="1" applyFont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12" fillId="0" borderId="0" xfId="0" applyFont="1"/>
    <xf numFmtId="20" fontId="12" fillId="0" borderId="0" xfId="0" applyNumberFormat="1" applyFont="1" applyAlignment="1">
      <alignment horizontal="center"/>
    </xf>
    <xf numFmtId="0" fontId="16" fillId="11" borderId="0" xfId="0" applyFont="1" applyFill="1"/>
    <xf numFmtId="0" fontId="16" fillId="11" borderId="0" xfId="0" applyFont="1" applyFill="1" applyAlignment="1">
      <alignment horizontal="center" vertical="center"/>
    </xf>
    <xf numFmtId="20" fontId="14" fillId="0" borderId="0" xfId="0" applyNumberFormat="1" applyFont="1" applyAlignment="1">
      <alignment horizontal="center"/>
    </xf>
    <xf numFmtId="20" fontId="20" fillId="0" borderId="0" xfId="0" applyNumberFormat="1" applyFont="1" applyAlignment="1">
      <alignment horizontal="center"/>
    </xf>
    <xf numFmtId="1" fontId="0" fillId="0" borderId="0" xfId="0" applyNumberFormat="1"/>
    <xf numFmtId="0" fontId="23" fillId="0" borderId="0" xfId="0" applyFont="1"/>
    <xf numFmtId="0" fontId="10" fillId="0" borderId="0" xfId="0" applyFont="1"/>
    <xf numFmtId="0" fontId="17" fillId="14" borderId="0" xfId="0" applyFont="1" applyFill="1"/>
    <xf numFmtId="1" fontId="0" fillId="0" borderId="10" xfId="1" applyNumberFormat="1" applyFont="1" applyBorder="1" applyAlignment="1">
      <alignment horizontal="center"/>
    </xf>
    <xf numFmtId="0" fontId="2" fillId="7" borderId="11" xfId="0" applyFont="1" applyFill="1" applyBorder="1"/>
    <xf numFmtId="0" fontId="8" fillId="0" borderId="11" xfId="0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8" fillId="0" borderId="11" xfId="0" applyFont="1" applyBorder="1" applyAlignment="1">
      <alignment horizontal="center"/>
    </xf>
    <xf numFmtId="1" fontId="0" fillId="0" borderId="11" xfId="1" applyNumberFormat="1" applyFont="1" applyBorder="1" applyAlignment="1">
      <alignment horizontal="center"/>
    </xf>
    <xf numFmtId="0" fontId="8" fillId="12" borderId="11" xfId="0" applyFont="1" applyFill="1" applyBorder="1" applyAlignment="1">
      <alignment horizontal="center"/>
    </xf>
    <xf numFmtId="1" fontId="22" fillId="13" borderId="0" xfId="0" applyNumberFormat="1" applyFont="1" applyFill="1" applyAlignment="1">
      <alignment horizontal="center"/>
    </xf>
    <xf numFmtId="0" fontId="28" fillId="0" borderId="0" xfId="0" applyFont="1"/>
    <xf numFmtId="0" fontId="9" fillId="0" borderId="11" xfId="0" applyFon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2" fillId="16" borderId="0" xfId="0" applyFont="1" applyFill="1"/>
    <xf numFmtId="0" fontId="29" fillId="0" borderId="0" xfId="0" applyFont="1"/>
    <xf numFmtId="0" fontId="29" fillId="0" borderId="6" xfId="0" applyFont="1" applyBorder="1"/>
    <xf numFmtId="0" fontId="30" fillId="0" borderId="7" xfId="0" applyFont="1" applyBorder="1"/>
    <xf numFmtId="0" fontId="30" fillId="0" borderId="6" xfId="0" applyFont="1" applyBorder="1"/>
    <xf numFmtId="0" fontId="30" fillId="0" borderId="0" xfId="0" applyFont="1"/>
    <xf numFmtId="0" fontId="8" fillId="2" borderId="11" xfId="0" applyFont="1" applyFill="1" applyBorder="1" applyAlignment="1">
      <alignment horizontal="center"/>
    </xf>
    <xf numFmtId="20" fontId="17" fillId="0" borderId="0" xfId="0" applyNumberFormat="1" applyFont="1"/>
    <xf numFmtId="0" fontId="19" fillId="0" borderId="0" xfId="0" applyFont="1"/>
    <xf numFmtId="0" fontId="32" fillId="0" borderId="0" xfId="0" applyFont="1"/>
    <xf numFmtId="0" fontId="32" fillId="0" borderId="6" xfId="0" applyFont="1" applyBorder="1"/>
    <xf numFmtId="0" fontId="33" fillId="0" borderId="7" xfId="0" applyFont="1" applyBorder="1"/>
    <xf numFmtId="0" fontId="33" fillId="0" borderId="6" xfId="0" applyFont="1" applyBorder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6" fillId="0" borderId="0" xfId="0" applyFont="1" applyAlignment="1">
      <alignment horizontal="center"/>
    </xf>
    <xf numFmtId="44" fontId="35" fillId="0" borderId="0" xfId="2" applyFont="1" applyBorder="1"/>
    <xf numFmtId="0" fontId="37" fillId="3" borderId="0" xfId="0" applyFont="1" applyFill="1"/>
    <xf numFmtId="14" fontId="34" fillId="0" borderId="0" xfId="0" applyNumberFormat="1" applyFont="1"/>
    <xf numFmtId="0" fontId="37" fillId="8" borderId="0" xfId="0" applyFont="1" applyFill="1"/>
    <xf numFmtId="44" fontId="37" fillId="8" borderId="0" xfId="2" applyFont="1" applyFill="1" applyBorder="1" applyAlignment="1"/>
    <xf numFmtId="44" fontId="35" fillId="0" borderId="0" xfId="0" applyNumberFormat="1" applyFont="1"/>
    <xf numFmtId="0" fontId="34" fillId="5" borderId="2" xfId="0" applyFont="1" applyFill="1" applyBorder="1"/>
    <xf numFmtId="1" fontId="34" fillId="5" borderId="2" xfId="0" applyNumberFormat="1" applyFont="1" applyFill="1" applyBorder="1" applyAlignment="1">
      <alignment horizontal="center"/>
    </xf>
    <xf numFmtId="0" fontId="38" fillId="5" borderId="2" xfId="0" applyFont="1" applyFill="1" applyBorder="1"/>
    <xf numFmtId="0" fontId="37" fillId="3" borderId="2" xfId="0" applyFont="1" applyFill="1" applyBorder="1"/>
    <xf numFmtId="0" fontId="38" fillId="0" borderId="2" xfId="0" applyFont="1" applyBorder="1"/>
    <xf numFmtId="0" fontId="35" fillId="0" borderId="2" xfId="0" applyFont="1" applyBorder="1" applyAlignment="1">
      <alignment horizontal="center"/>
    </xf>
    <xf numFmtId="164" fontId="39" fillId="5" borderId="2" xfId="1" applyNumberFormat="1" applyFont="1" applyFill="1" applyBorder="1"/>
    <xf numFmtId="44" fontId="35" fillId="0" borderId="2" xfId="2" applyFont="1" applyFill="1" applyBorder="1"/>
    <xf numFmtId="44" fontId="35" fillId="0" borderId="2" xfId="2" applyFont="1" applyBorder="1"/>
    <xf numFmtId="44" fontId="39" fillId="5" borderId="2" xfId="0" applyNumberFormat="1" applyFont="1" applyFill="1" applyBorder="1"/>
    <xf numFmtId="44" fontId="35" fillId="0" borderId="0" xfId="2" applyFont="1"/>
    <xf numFmtId="0" fontId="34" fillId="0" borderId="2" xfId="0" applyFont="1" applyBorder="1"/>
    <xf numFmtId="0" fontId="31" fillId="0" borderId="0" xfId="0" applyFont="1"/>
    <xf numFmtId="0" fontId="17" fillId="5" borderId="0" xfId="0" applyFont="1" applyFill="1"/>
    <xf numFmtId="0" fontId="24" fillId="0" borderId="0" xfId="0" applyFont="1" applyAlignment="1">
      <alignment horizontal="left"/>
    </xf>
    <xf numFmtId="0" fontId="20" fillId="0" borderId="0" xfId="0" applyFont="1"/>
    <xf numFmtId="20" fontId="17" fillId="0" borderId="0" xfId="0" applyNumberFormat="1" applyFont="1" applyAlignment="1">
      <alignment horizontal="center"/>
    </xf>
    <xf numFmtId="20" fontId="25" fillId="0" borderId="0" xfId="0" applyNumberFormat="1" applyFont="1" applyAlignment="1">
      <alignment horizontal="left"/>
    </xf>
    <xf numFmtId="0" fontId="17" fillId="0" borderId="0" xfId="0" applyFont="1" applyAlignment="1">
      <alignment horizontal="center"/>
    </xf>
    <xf numFmtId="0" fontId="14" fillId="0" borderId="0" xfId="0" applyFont="1"/>
    <xf numFmtId="167" fontId="17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26" fillId="0" borderId="0" xfId="0" applyFont="1"/>
    <xf numFmtId="0" fontId="15" fillId="9" borderId="0" xfId="0" applyFont="1" applyFill="1"/>
    <xf numFmtId="0" fontId="15" fillId="10" borderId="0" xfId="0" applyFont="1" applyFill="1"/>
    <xf numFmtId="0" fontId="15" fillId="10" borderId="0" xfId="0" applyFont="1" applyFill="1" applyAlignment="1">
      <alignment horizontal="left" vertical="center"/>
    </xf>
    <xf numFmtId="0" fontId="21" fillId="10" borderId="0" xfId="0" applyFont="1" applyFill="1" applyAlignment="1">
      <alignment horizontal="left" vertical="center"/>
    </xf>
    <xf numFmtId="0" fontId="26" fillId="0" borderId="0" xfId="0" applyFont="1" applyAlignment="1">
      <alignment horizontal="left"/>
    </xf>
    <xf numFmtId="20" fontId="27" fillId="0" borderId="0" xfId="0" applyNumberFormat="1" applyFont="1" applyAlignment="1">
      <alignment horizontal="center"/>
    </xf>
    <xf numFmtId="20" fontId="20" fillId="0" borderId="0" xfId="0" applyNumberFormat="1" applyFont="1"/>
    <xf numFmtId="0" fontId="26" fillId="0" borderId="0" xfId="0" applyFont="1" applyAlignment="1">
      <alignment horizontal="center"/>
    </xf>
    <xf numFmtId="14" fontId="16" fillId="19" borderId="0" xfId="0" applyNumberFormat="1" applyFont="1" applyFill="1" applyAlignment="1">
      <alignment horizontal="center"/>
    </xf>
    <xf numFmtId="0" fontId="40" fillId="0" borderId="0" xfId="0" applyFont="1" applyAlignment="1">
      <alignment horizontal="center"/>
    </xf>
    <xf numFmtId="20" fontId="40" fillId="0" borderId="0" xfId="0" applyNumberFormat="1" applyFont="1" applyAlignment="1">
      <alignment horizontal="center"/>
    </xf>
    <xf numFmtId="0" fontId="17" fillId="15" borderId="0" xfId="0" applyFont="1" applyFill="1"/>
    <xf numFmtId="0" fontId="17" fillId="20" borderId="0" xfId="0" applyFont="1" applyFill="1"/>
    <xf numFmtId="0" fontId="17" fillId="18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9" fillId="0" borderId="1" xfId="0" applyFont="1" applyBorder="1"/>
    <xf numFmtId="0" fontId="17" fillId="2" borderId="12" xfId="0" applyFont="1" applyFill="1" applyBorder="1" applyAlignment="1">
      <alignment horizontal="center"/>
    </xf>
    <xf numFmtId="20" fontId="17" fillId="2" borderId="12" xfId="0" applyNumberFormat="1" applyFont="1" applyFill="1" applyBorder="1" applyAlignment="1">
      <alignment horizontal="center"/>
    </xf>
    <xf numFmtId="20" fontId="20" fillId="2" borderId="12" xfId="0" applyNumberFormat="1" applyFont="1" applyFill="1" applyBorder="1" applyAlignment="1">
      <alignment horizontal="center"/>
    </xf>
    <xf numFmtId="0" fontId="12" fillId="17" borderId="0" xfId="0" applyFont="1" applyFill="1"/>
    <xf numFmtId="0" fontId="17" fillId="21" borderId="0" xfId="0" applyFont="1" applyFill="1"/>
    <xf numFmtId="0" fontId="17" fillId="22" borderId="0" xfId="0" applyFont="1" applyFill="1"/>
    <xf numFmtId="0" fontId="31" fillId="13" borderId="2" xfId="0" applyFont="1" applyFill="1" applyBorder="1"/>
    <xf numFmtId="0" fontId="31" fillId="13" borderId="2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17" fillId="23" borderId="0" xfId="0" applyFont="1" applyFill="1"/>
    <xf numFmtId="0" fontId="45" fillId="0" borderId="0" xfId="0" applyFont="1"/>
    <xf numFmtId="0" fontId="43" fillId="0" borderId="0" xfId="0" applyFont="1"/>
    <xf numFmtId="0" fontId="8" fillId="0" borderId="13" xfId="0" applyFont="1" applyBorder="1"/>
    <xf numFmtId="0" fontId="0" fillId="0" borderId="13" xfId="0" applyBorder="1"/>
    <xf numFmtId="3" fontId="0" fillId="0" borderId="13" xfId="1" applyNumberFormat="1" applyFont="1" applyBorder="1" applyAlignment="1">
      <alignment horizontal="center"/>
    </xf>
    <xf numFmtId="3" fontId="0" fillId="0" borderId="13" xfId="1" applyNumberFormat="1" applyFont="1" applyBorder="1"/>
    <xf numFmtId="0" fontId="46" fillId="0" borderId="0" xfId="0" applyFont="1"/>
    <xf numFmtId="0" fontId="47" fillId="0" borderId="0" xfId="0" applyFont="1" applyAlignment="1">
      <alignment horizontal="center"/>
    </xf>
    <xf numFmtId="0" fontId="49" fillId="0" borderId="0" xfId="0" applyFont="1"/>
    <xf numFmtId="0" fontId="48" fillId="0" borderId="0" xfId="0" applyFont="1"/>
    <xf numFmtId="0" fontId="51" fillId="0" borderId="11" xfId="0" applyFont="1" applyBorder="1"/>
    <xf numFmtId="0" fontId="52" fillId="0" borderId="11" xfId="0" applyFont="1" applyBorder="1" applyAlignment="1">
      <alignment horizontal="center"/>
    </xf>
    <xf numFmtId="1" fontId="52" fillId="0" borderId="10" xfId="1" applyNumberFormat="1" applyFont="1" applyBorder="1" applyAlignment="1">
      <alignment horizontal="center"/>
    </xf>
    <xf numFmtId="1" fontId="52" fillId="0" borderId="2" xfId="1" applyNumberFormat="1" applyFont="1" applyBorder="1" applyAlignment="1">
      <alignment horizontal="center"/>
    </xf>
    <xf numFmtId="0" fontId="51" fillId="12" borderId="2" xfId="0" applyFont="1" applyFill="1" applyBorder="1" applyAlignment="1">
      <alignment horizontal="center"/>
    </xf>
    <xf numFmtId="164" fontId="52" fillId="0" borderId="2" xfId="1" applyNumberFormat="1" applyFont="1" applyBorder="1"/>
    <xf numFmtId="0" fontId="52" fillId="0" borderId="2" xfId="0" applyFont="1" applyBorder="1"/>
    <xf numFmtId="0" fontId="52" fillId="0" borderId="0" xfId="0" applyFont="1"/>
    <xf numFmtId="0" fontId="52" fillId="0" borderId="0" xfId="0" applyFont="1" applyAlignment="1">
      <alignment horizontal="center"/>
    </xf>
    <xf numFmtId="0" fontId="0" fillId="0" borderId="13" xfId="0" applyBorder="1" applyAlignment="1">
      <alignment horizontal="center"/>
    </xf>
    <xf numFmtId="0" fontId="25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20" fontId="13" fillId="0" borderId="0" xfId="0" applyNumberFormat="1" applyFont="1" applyAlignment="1">
      <alignment horizontal="center"/>
    </xf>
    <xf numFmtId="20" fontId="18" fillId="0" borderId="0" xfId="0" applyNumberFormat="1" applyFont="1" applyAlignment="1">
      <alignment horizontal="center"/>
    </xf>
    <xf numFmtId="0" fontId="44" fillId="0" borderId="0" xfId="0" applyFont="1"/>
    <xf numFmtId="20" fontId="24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0" fontId="44" fillId="2" borderId="12" xfId="0" quotePrefix="1" applyFont="1" applyFill="1" applyBorder="1"/>
    <xf numFmtId="0" fontId="14" fillId="2" borderId="12" xfId="0" applyFont="1" applyFill="1" applyBorder="1"/>
    <xf numFmtId="0" fontId="0" fillId="0" borderId="0" xfId="0" applyAlignment="1">
      <alignment horizontal="right"/>
    </xf>
    <xf numFmtId="0" fontId="44" fillId="0" borderId="0" xfId="0" quotePrefix="1" applyFont="1"/>
    <xf numFmtId="0" fontId="14" fillId="0" borderId="0" xfId="0" applyFont="1" applyAlignment="1">
      <alignment horizontal="left"/>
    </xf>
    <xf numFmtId="0" fontId="0" fillId="13" borderId="2" xfId="0" applyFill="1" applyBorder="1"/>
    <xf numFmtId="0" fontId="0" fillId="13" borderId="2" xfId="0" applyFill="1" applyBorder="1" applyAlignment="1">
      <alignment horizontal="center"/>
    </xf>
    <xf numFmtId="0" fontId="2" fillId="0" borderId="0" xfId="0" applyFont="1"/>
    <xf numFmtId="1" fontId="52" fillId="0" borderId="0" xfId="1" applyNumberFormat="1" applyFont="1" applyFill="1" applyBorder="1" applyAlignment="1">
      <alignment horizontal="center"/>
    </xf>
    <xf numFmtId="0" fontId="8" fillId="14" borderId="14" xfId="0" applyFont="1" applyFill="1" applyBorder="1"/>
    <xf numFmtId="0" fontId="2" fillId="7" borderId="14" xfId="0" applyFont="1" applyFill="1" applyBorder="1"/>
    <xf numFmtId="0" fontId="8" fillId="0" borderId="14" xfId="0" applyFont="1" applyBorder="1"/>
    <xf numFmtId="166" fontId="2" fillId="7" borderId="14" xfId="0" applyNumberFormat="1" applyFont="1" applyFill="1" applyBorder="1"/>
    <xf numFmtId="166" fontId="53" fillId="7" borderId="14" xfId="0" applyNumberFormat="1" applyFont="1" applyFill="1" applyBorder="1"/>
    <xf numFmtId="0" fontId="8" fillId="5" borderId="14" xfId="0" applyFont="1" applyFill="1" applyBorder="1"/>
    <xf numFmtId="0" fontId="8" fillId="3" borderId="14" xfId="0" applyFont="1" applyFill="1" applyBorder="1"/>
    <xf numFmtId="166" fontId="8" fillId="3" borderId="14" xfId="0" applyNumberFormat="1" applyFont="1" applyFill="1" applyBorder="1"/>
    <xf numFmtId="166" fontId="47" fillId="3" borderId="14" xfId="0" applyNumberFormat="1" applyFont="1" applyFill="1" applyBorder="1"/>
    <xf numFmtId="0" fontId="2" fillId="16" borderId="0" xfId="0" applyFont="1" applyFill="1" applyAlignment="1">
      <alignment horizontal="center"/>
    </xf>
    <xf numFmtId="0" fontId="2" fillId="16" borderId="0" xfId="0" applyFont="1" applyFill="1" applyAlignment="1">
      <alignment horizontal="left"/>
    </xf>
    <xf numFmtId="0" fontId="8" fillId="0" borderId="14" xfId="0" applyFont="1" applyBorder="1" applyAlignment="1">
      <alignment horizontal="center"/>
    </xf>
    <xf numFmtId="0" fontId="47" fillId="0" borderId="14" xfId="0" applyFont="1" applyBorder="1"/>
    <xf numFmtId="0" fontId="47" fillId="0" borderId="14" xfId="0" applyFont="1" applyBorder="1" applyAlignment="1">
      <alignment horizontal="center"/>
    </xf>
    <xf numFmtId="0" fontId="8" fillId="5" borderId="14" xfId="0" applyFont="1" applyFill="1" applyBorder="1" applyAlignment="1">
      <alignment horizontal="center"/>
    </xf>
    <xf numFmtId="0" fontId="8" fillId="14" borderId="14" xfId="0" applyFont="1" applyFill="1" applyBorder="1" applyAlignment="1">
      <alignment horizontal="center"/>
    </xf>
    <xf numFmtId="0" fontId="47" fillId="0" borderId="0" xfId="0" applyFont="1"/>
    <xf numFmtId="1" fontId="47" fillId="0" borderId="0" xfId="1" applyNumberFormat="1" applyFont="1" applyFill="1" applyBorder="1" applyAlignment="1">
      <alignment horizontal="center"/>
    </xf>
    <xf numFmtId="1" fontId="54" fillId="0" borderId="0" xfId="0" applyNumberFormat="1" applyFont="1"/>
    <xf numFmtId="0" fontId="54" fillId="0" borderId="0" xfId="0" applyFont="1"/>
    <xf numFmtId="0" fontId="47" fillId="5" borderId="14" xfId="0" applyFont="1" applyFill="1" applyBorder="1"/>
    <xf numFmtId="166" fontId="47" fillId="0" borderId="14" xfId="0" applyNumberFormat="1" applyFont="1" applyBorder="1"/>
    <xf numFmtId="0" fontId="47" fillId="14" borderId="14" xfId="0" applyFont="1" applyFill="1" applyBorder="1"/>
    <xf numFmtId="0" fontId="47" fillId="0" borderId="15" xfId="0" applyFont="1" applyBorder="1"/>
    <xf numFmtId="0" fontId="47" fillId="0" borderId="15" xfId="0" applyFont="1" applyBorder="1" applyAlignment="1">
      <alignment horizontal="center"/>
    </xf>
    <xf numFmtId="166" fontId="53" fillId="7" borderId="15" xfId="0" applyNumberFormat="1" applyFont="1" applyFill="1" applyBorder="1"/>
    <xf numFmtId="0" fontId="47" fillId="4" borderId="0" xfId="0" applyFont="1" applyFill="1"/>
    <xf numFmtId="0" fontId="10" fillId="0" borderId="0" xfId="0" applyFont="1" applyAlignment="1">
      <alignment horizontal="center"/>
    </xf>
    <xf numFmtId="14" fontId="0" fillId="0" borderId="0" xfId="0" applyNumberFormat="1"/>
    <xf numFmtId="0" fontId="55" fillId="13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</cellXfs>
  <cellStyles count="3">
    <cellStyle name="Comma" xfId="1" builtinId="3"/>
    <cellStyle name="Currency" xfId="2" builtinId="4"/>
    <cellStyle name="Normal" xfId="0" builtinId="0"/>
  </cellStyles>
  <dxfs count="1">
    <dxf>
      <font>
        <color theme="1" tint="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558800</xdr:colOff>
      <xdr:row>0</xdr:row>
      <xdr:rowOff>0</xdr:rowOff>
    </xdr:from>
    <xdr:to>
      <xdr:col>2</xdr:col>
      <xdr:colOff>386861</xdr:colOff>
      <xdr:row>8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0644BB-EC9D-E9B4-D3C7-9EC20E10B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00" y="0"/>
          <a:ext cx="1723292" cy="17301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ophia Teal Rainbow">
      <a:dk1>
        <a:srgbClr val="000000"/>
      </a:dk1>
      <a:lt1>
        <a:srgbClr val="FFFFFF"/>
      </a:lt1>
      <a:dk2>
        <a:srgbClr val="445469"/>
      </a:dk2>
      <a:lt2>
        <a:srgbClr val="E7E6E6"/>
      </a:lt2>
      <a:accent1>
        <a:srgbClr val="48A9A6"/>
      </a:accent1>
      <a:accent2>
        <a:srgbClr val="54577C"/>
      </a:accent2>
      <a:accent3>
        <a:srgbClr val="880D1E"/>
      </a:accent3>
      <a:accent4>
        <a:srgbClr val="DD2C49"/>
      </a:accent4>
      <a:accent5>
        <a:srgbClr val="EF8354"/>
      </a:accent5>
      <a:accent6>
        <a:srgbClr val="F1D302"/>
      </a:accent6>
      <a:hlink>
        <a:srgbClr val="48A9A6"/>
      </a:hlink>
      <a:folHlink>
        <a:srgbClr val="83003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170E-D87D-1240-8228-A1C840522D32}">
  <sheetPr codeName="Sheet1">
    <tabColor theme="2" tint="-9.9978637043366805E-2"/>
  </sheetPr>
  <dimension ref="A2:E25"/>
  <sheetViews>
    <sheetView showGridLines="0" tabSelected="1" zoomScale="110" zoomScaleNormal="110" workbookViewId="0"/>
  </sheetViews>
  <sheetFormatPr baseColWidth="10" defaultRowHeight="16"/>
  <cols>
    <col min="2" max="2" width="36.1640625" bestFit="1" customWidth="1"/>
    <col min="3" max="3" width="15.1640625" customWidth="1"/>
    <col min="4" max="4" width="18.33203125" bestFit="1" customWidth="1"/>
    <col min="5" max="5" width="21.1640625" customWidth="1"/>
    <col min="6" max="6" width="15.6640625" bestFit="1" customWidth="1"/>
    <col min="7" max="7" width="7.5" customWidth="1"/>
    <col min="8" max="8" width="22.33203125" bestFit="1" customWidth="1"/>
    <col min="9" max="9" width="62.33203125" bestFit="1" customWidth="1"/>
    <col min="10" max="10" width="12.83203125" bestFit="1" customWidth="1"/>
    <col min="11" max="11" width="12.83203125" customWidth="1"/>
    <col min="12" max="12" width="13.33203125" bestFit="1" customWidth="1"/>
  </cols>
  <sheetData>
    <row r="2" spans="1:5">
      <c r="B2" s="1" t="s">
        <v>8</v>
      </c>
      <c r="C2" s="1" t="s">
        <v>9</v>
      </c>
      <c r="D2" s="1" t="s">
        <v>24</v>
      </c>
      <c r="E2" s="1" t="s">
        <v>298</v>
      </c>
    </row>
    <row r="3" spans="1:5">
      <c r="B3" s="27" t="s">
        <v>291</v>
      </c>
      <c r="C3" s="175">
        <f>SUMIFS(Orders!G:G,Orders!F:F,B3)</f>
        <v>0</v>
      </c>
      <c r="D3" s="175">
        <v>250</v>
      </c>
      <c r="E3" s="27"/>
    </row>
    <row r="4" spans="1:5">
      <c r="B4" s="27" t="s">
        <v>61</v>
      </c>
      <c r="C4" s="175">
        <f>SUMIFS(Orders!G:G,Orders!F:F,B4)</f>
        <v>0</v>
      </c>
      <c r="D4" s="175">
        <v>750</v>
      </c>
      <c r="E4" s="34"/>
    </row>
    <row r="5" spans="1:5">
      <c r="B5" s="27" t="s">
        <v>294</v>
      </c>
      <c r="C5" s="175">
        <f>SUMIFS(Orders!G:G,Orders!F:F,B5)</f>
        <v>0</v>
      </c>
      <c r="D5" s="175">
        <v>750</v>
      </c>
      <c r="E5" s="27"/>
    </row>
    <row r="6" spans="1:5">
      <c r="B6" s="27" t="s">
        <v>297</v>
      </c>
      <c r="C6" s="175">
        <f>SUMIFS(Orders!G:G,Orders!F:F,B6)</f>
        <v>0</v>
      </c>
      <c r="D6" s="175">
        <v>750</v>
      </c>
      <c r="E6" s="27"/>
    </row>
    <row r="7" spans="1:5">
      <c r="B7" s="27" t="s">
        <v>295</v>
      </c>
      <c r="C7" s="175">
        <f>SUMIFS(Orders!G:G,Orders!F:F,B7)</f>
        <v>0</v>
      </c>
      <c r="D7" s="175">
        <v>300</v>
      </c>
      <c r="E7" s="27"/>
    </row>
    <row r="8" spans="1:5">
      <c r="A8" s="178"/>
      <c r="B8" s="27" t="s">
        <v>296</v>
      </c>
      <c r="C8" s="175">
        <f>SUMIFS(Orders!G:G,Orders!F:F,B8)</f>
        <v>0</v>
      </c>
      <c r="D8" s="175">
        <v>300</v>
      </c>
      <c r="E8" s="27"/>
    </row>
    <row r="9" spans="1:5">
      <c r="B9" s="27" t="s">
        <v>292</v>
      </c>
      <c r="C9" s="175">
        <f>SUMIFS(Orders!G:G,Orders!F:F,B9)</f>
        <v>0</v>
      </c>
      <c r="D9" s="175">
        <v>400</v>
      </c>
      <c r="E9" s="27"/>
    </row>
    <row r="10" spans="1:5">
      <c r="B10" s="27" t="s">
        <v>293</v>
      </c>
      <c r="C10" s="175">
        <f>SUMIFS(Orders!G:G,Orders!F:F,B10)</f>
        <v>0</v>
      </c>
      <c r="D10" s="175">
        <v>400</v>
      </c>
      <c r="E10" s="63"/>
    </row>
    <row r="11" spans="1:5">
      <c r="B11" s="27" t="s">
        <v>254</v>
      </c>
      <c r="C11" s="175">
        <f>SUMIFS(Orders!G:G,Orders!F:F,B11)</f>
        <v>0</v>
      </c>
      <c r="D11" s="175">
        <v>350</v>
      </c>
      <c r="E11" s="27"/>
    </row>
    <row r="12" spans="1:5">
      <c r="B12" s="181" t="s">
        <v>275</v>
      </c>
      <c r="C12" s="214">
        <v>0</v>
      </c>
      <c r="D12" s="182">
        <v>252</v>
      </c>
      <c r="E12" s="181" t="s">
        <v>63</v>
      </c>
    </row>
    <row r="13" spans="1:5">
      <c r="B13" s="181" t="s">
        <v>135</v>
      </c>
      <c r="C13" s="182">
        <v>0</v>
      </c>
      <c r="D13" s="182">
        <v>1900</v>
      </c>
      <c r="E13" s="181" t="s">
        <v>63</v>
      </c>
    </row>
    <row r="14" spans="1:5" s="107" customFormat="1">
      <c r="B14" s="145" t="s">
        <v>25</v>
      </c>
      <c r="C14" s="146">
        <v>0</v>
      </c>
      <c r="D14" s="146">
        <v>80</v>
      </c>
      <c r="E14" s="145" t="s">
        <v>63</v>
      </c>
    </row>
    <row r="15" spans="1:5">
      <c r="B15" s="181" t="s">
        <v>129</v>
      </c>
      <c r="C15" s="182">
        <v>0</v>
      </c>
      <c r="D15" s="182">
        <v>65</v>
      </c>
      <c r="E15" s="181" t="s">
        <v>63</v>
      </c>
    </row>
    <row r="16" spans="1:5" s="107" customFormat="1">
      <c r="B16" s="145" t="s">
        <v>134</v>
      </c>
      <c r="C16" s="146">
        <v>0</v>
      </c>
      <c r="D16" s="146">
        <v>120</v>
      </c>
      <c r="E16" s="145" t="s">
        <v>63</v>
      </c>
    </row>
    <row r="17" spans="2:5">
      <c r="B17" s="181" t="s">
        <v>131</v>
      </c>
      <c r="C17" s="182">
        <v>0</v>
      </c>
      <c r="D17" s="182">
        <v>85</v>
      </c>
      <c r="E17" s="181" t="s">
        <v>63</v>
      </c>
    </row>
    <row r="18" spans="2:5" s="107" customFormat="1">
      <c r="B18" s="145" t="s">
        <v>146</v>
      </c>
      <c r="C18" s="146">
        <v>0</v>
      </c>
      <c r="D18" s="146">
        <f>2*252</f>
        <v>504</v>
      </c>
      <c r="E18" s="145" t="s">
        <v>63</v>
      </c>
    </row>
    <row r="19" spans="2:5" s="107" customFormat="1">
      <c r="B19" s="145" t="s">
        <v>182</v>
      </c>
      <c r="C19" s="146">
        <v>0</v>
      </c>
      <c r="D19" s="146">
        <v>750</v>
      </c>
      <c r="E19" s="145" t="s">
        <v>63</v>
      </c>
    </row>
    <row r="20" spans="2:5" s="107" customFormat="1">
      <c r="B20" s="145" t="s">
        <v>183</v>
      </c>
      <c r="C20" s="146">
        <v>0</v>
      </c>
      <c r="D20" s="146">
        <v>70</v>
      </c>
      <c r="E20" s="145" t="s">
        <v>63</v>
      </c>
    </row>
    <row r="21" spans="2:5">
      <c r="B21" s="79"/>
    </row>
    <row r="22" spans="2:5" ht="22">
      <c r="B22" s="56"/>
      <c r="C22" s="67">
        <f>SUM(C3:C20)</f>
        <v>0</v>
      </c>
      <c r="D22" s="57"/>
      <c r="E22" s="57"/>
    </row>
    <row r="23" spans="2:5">
      <c r="B23" s="68"/>
      <c r="C23" s="57"/>
      <c r="D23" s="57"/>
      <c r="E23" s="57"/>
    </row>
    <row r="24" spans="2:5">
      <c r="B24" s="68"/>
      <c r="C24" s="57"/>
      <c r="D24" s="57"/>
      <c r="E24" s="57"/>
    </row>
    <row r="25" spans="2:5">
      <c r="B25" s="23"/>
      <c r="C25" s="23"/>
      <c r="D25" s="23"/>
      <c r="E25" s="57"/>
    </row>
  </sheetData>
  <conditionalFormatting sqref="C3:C20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8B7B-D55B-0348-B8C2-78109BB29A1F}">
  <sheetPr codeName="Sheet2">
    <tabColor theme="2" tint="-9.9978637043366805E-2"/>
  </sheetPr>
  <dimension ref="B2:AO68"/>
  <sheetViews>
    <sheetView showGridLines="0" zoomScale="90" zoomScaleNormal="90"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5"/>
  <cols>
    <col min="1" max="1" width="2.1640625" style="86" customWidth="1"/>
    <col min="2" max="2" width="22.83203125" style="85" bestFit="1" customWidth="1"/>
    <col min="3" max="3" width="10.1640625" style="86" bestFit="1" customWidth="1"/>
    <col min="4" max="4" width="11.83203125" style="86" bestFit="1" customWidth="1"/>
    <col min="5" max="5" width="14.5" style="86" bestFit="1" customWidth="1"/>
    <col min="6" max="6" width="11.83203125" style="86" bestFit="1" customWidth="1"/>
    <col min="7" max="7" width="11.1640625" style="86" bestFit="1" customWidth="1"/>
    <col min="8" max="8" width="9.6640625" style="86" bestFit="1" customWidth="1"/>
    <col min="9" max="9" width="15" style="86" bestFit="1" customWidth="1"/>
    <col min="10" max="10" width="17.33203125" style="86" bestFit="1" customWidth="1"/>
    <col min="11" max="11" width="5.33203125" style="86" bestFit="1" customWidth="1"/>
    <col min="12" max="12" width="1.5" style="86" customWidth="1"/>
    <col min="13" max="13" width="6.6640625" style="86" bestFit="1" customWidth="1"/>
    <col min="14" max="14" width="7.33203125" style="86" bestFit="1" customWidth="1"/>
    <col min="15" max="15" width="8" style="86" bestFit="1" customWidth="1"/>
    <col min="16" max="16" width="22.83203125" style="86" bestFit="1" customWidth="1"/>
    <col min="17" max="17" width="10.1640625" style="86" bestFit="1" customWidth="1"/>
    <col min="18" max="18" width="11.83203125" style="86" bestFit="1" customWidth="1"/>
    <col min="19" max="19" width="14.5" style="86" bestFit="1" customWidth="1"/>
    <col min="20" max="20" width="11.83203125" style="86" bestFit="1" customWidth="1"/>
    <col min="21" max="21" width="11.1640625" style="86" bestFit="1" customWidth="1"/>
    <col min="22" max="22" width="9.6640625" style="86" bestFit="1" customWidth="1"/>
    <col min="23" max="23" width="15" style="86" bestFit="1" customWidth="1"/>
    <col min="24" max="24" width="17.33203125" style="86" bestFit="1" customWidth="1"/>
    <col min="25" max="25" width="6.1640625" style="86" bestFit="1" customWidth="1"/>
    <col min="26" max="26" width="1.33203125" style="86" customWidth="1"/>
    <col min="27" max="27" width="7" style="86" bestFit="1" customWidth="1"/>
    <col min="28" max="28" width="1.33203125" style="86" customWidth="1"/>
    <col min="29" max="29" width="12" style="86" bestFit="1" customWidth="1"/>
    <col min="30" max="30" width="1.33203125" style="86" customWidth="1"/>
    <col min="31" max="31" width="9" style="86" bestFit="1" customWidth="1"/>
    <col min="32" max="32" width="1.33203125" style="86" customWidth="1"/>
    <col min="33" max="33" width="7.1640625" style="86" customWidth="1"/>
    <col min="34" max="34" width="1.33203125" style="86" hidden="1" customWidth="1"/>
    <col min="35" max="35" width="14" style="86" bestFit="1" customWidth="1"/>
    <col min="36" max="36" width="1.33203125" style="86" customWidth="1"/>
    <col min="37" max="37" width="8.6640625" style="86" bestFit="1" customWidth="1"/>
    <col min="38" max="38" width="8.33203125" style="86" bestFit="1" customWidth="1"/>
    <col min="39" max="39" width="13.6640625" style="86" hidden="1" customWidth="1"/>
    <col min="40" max="40" width="1.33203125" style="86" hidden="1" customWidth="1"/>
    <col min="41" max="41" width="18.6640625" style="86" bestFit="1" customWidth="1"/>
    <col min="42" max="42" width="1.33203125" style="86" customWidth="1"/>
    <col min="43" max="43" width="13.6640625" style="86" bestFit="1" customWidth="1"/>
    <col min="44" max="44" width="1.33203125" style="86" customWidth="1"/>
    <col min="45" max="45" width="13.6640625" style="86" bestFit="1" customWidth="1"/>
    <col min="46" max="46" width="1.33203125" style="86" customWidth="1"/>
    <col min="47" max="47" width="14.33203125" style="86" bestFit="1" customWidth="1"/>
    <col min="48" max="16384" width="10.83203125" style="86"/>
  </cols>
  <sheetData>
    <row r="2" spans="2:38">
      <c r="B2" s="87" t="s">
        <v>31</v>
      </c>
      <c r="C2" s="88">
        <v>250</v>
      </c>
      <c r="D2" s="88" t="e">
        <f>VLOOKUP(Kostprijs!D3,Overview!$B:$D,3,0)</f>
        <v>#N/A</v>
      </c>
      <c r="E2" s="88">
        <f>VLOOKUP(Kostprijs!E3,Overview!$B:$D,3,0)</f>
        <v>300</v>
      </c>
      <c r="F2" s="88">
        <v>750</v>
      </c>
      <c r="G2" s="88">
        <v>750</v>
      </c>
      <c r="H2" s="88">
        <v>500</v>
      </c>
      <c r="I2" s="88">
        <f>VLOOKUP(Kostprijs!I3,Overview!$B:$D,3,0)</f>
        <v>400</v>
      </c>
      <c r="J2" s="88">
        <f>VLOOKUP(Kostprijs!J3,Overview!$B:$D,3,0)</f>
        <v>400</v>
      </c>
      <c r="K2" s="88" t="e">
        <f>VLOOKUP(Kostprijs!K3,Overview!$B:$D,3,0)</f>
        <v>#N/A</v>
      </c>
      <c r="P2" s="86" t="s">
        <v>65</v>
      </c>
      <c r="Q2" s="89">
        <f t="shared" ref="Q2" si="0">Q3/C2*1000</f>
        <v>2.4764399999999993</v>
      </c>
      <c r="R2" s="89" t="e">
        <f t="shared" ref="R2" si="1">R3/D2*1000</f>
        <v>#N/A</v>
      </c>
      <c r="S2" s="89">
        <f t="shared" ref="S2" si="2">S3/E2*1000</f>
        <v>1.1279933333333332</v>
      </c>
      <c r="T2" s="89">
        <f t="shared" ref="T2" si="3">T3/F2*1000</f>
        <v>0</v>
      </c>
      <c r="U2" s="89">
        <f t="shared" ref="U2" si="4">U3/G2*1000</f>
        <v>1.0356533333333333</v>
      </c>
      <c r="V2" s="89">
        <f t="shared" ref="V2" si="5">V3/H2*1000</f>
        <v>3.0230199999999998</v>
      </c>
      <c r="W2" s="89">
        <f t="shared" ref="W2" si="6">W3/I2*1000</f>
        <v>2.1386500000000002</v>
      </c>
      <c r="X2" s="89">
        <f t="shared" ref="X2" si="7">X3/J2*1000</f>
        <v>4.5116500000000004</v>
      </c>
      <c r="Y2" s="89" t="e">
        <f t="shared" ref="Y2" si="8">Y3/K2*1000</f>
        <v>#N/A</v>
      </c>
    </row>
    <row r="3" spans="2:38">
      <c r="B3" s="90" t="s">
        <v>30</v>
      </c>
      <c r="C3" s="90" t="s">
        <v>138</v>
      </c>
      <c r="D3" s="90" t="s">
        <v>90</v>
      </c>
      <c r="E3" s="90" t="s">
        <v>106</v>
      </c>
      <c r="F3" s="90" t="s">
        <v>139</v>
      </c>
      <c r="G3" s="90" t="s">
        <v>140</v>
      </c>
      <c r="H3" s="90" t="s">
        <v>141</v>
      </c>
      <c r="I3" s="90" t="s">
        <v>143</v>
      </c>
      <c r="J3" s="90" t="s">
        <v>144</v>
      </c>
      <c r="K3" s="90"/>
      <c r="O3" s="91"/>
      <c r="P3" s="92" t="s">
        <v>34</v>
      </c>
      <c r="Q3" s="93">
        <f t="shared" ref="Q3:Y3" si="9">SUM(Q5:Q51)</f>
        <v>0.61910999999999983</v>
      </c>
      <c r="R3" s="93">
        <f t="shared" si="9"/>
        <v>0.72303971122994659</v>
      </c>
      <c r="S3" s="93">
        <f t="shared" si="9"/>
        <v>0.33839799999999998</v>
      </c>
      <c r="T3" s="93">
        <f t="shared" si="9"/>
        <v>0</v>
      </c>
      <c r="U3" s="93">
        <f t="shared" si="9"/>
        <v>0.77673999999999999</v>
      </c>
      <c r="V3" s="93">
        <f t="shared" si="9"/>
        <v>1.5115099999999999</v>
      </c>
      <c r="W3" s="93">
        <f t="shared" si="9"/>
        <v>0.85546</v>
      </c>
      <c r="X3" s="93">
        <f t="shared" si="9"/>
        <v>1.8046600000000002</v>
      </c>
      <c r="Y3" s="93">
        <f t="shared" si="9"/>
        <v>0</v>
      </c>
      <c r="AG3" s="94"/>
    </row>
    <row r="4" spans="2:38">
      <c r="B4" s="95" t="s">
        <v>32</v>
      </c>
      <c r="C4" s="96">
        <f>SUM(C5:C51)</f>
        <v>295</v>
      </c>
      <c r="D4" s="96">
        <f t="shared" ref="D4:K4" si="10">SUM(D5:D51)</f>
        <v>384.4</v>
      </c>
      <c r="E4" s="96">
        <f t="shared" si="10"/>
        <v>348</v>
      </c>
      <c r="F4" s="96">
        <f t="shared" si="10"/>
        <v>0</v>
      </c>
      <c r="G4" s="96">
        <f t="shared" si="10"/>
        <v>897.2</v>
      </c>
      <c r="H4" s="96">
        <f t="shared" si="10"/>
        <v>757.1</v>
      </c>
      <c r="I4" s="96">
        <f t="shared" si="10"/>
        <v>399</v>
      </c>
      <c r="J4" s="96">
        <f t="shared" si="10"/>
        <v>469</v>
      </c>
      <c r="K4" s="96">
        <f t="shared" si="10"/>
        <v>0</v>
      </c>
      <c r="M4" s="97" t="s">
        <v>33</v>
      </c>
      <c r="O4" s="98" t="s">
        <v>38</v>
      </c>
      <c r="P4" s="98"/>
      <c r="Q4" s="98" t="str">
        <f t="shared" ref="Q4:Y4" si="11">C3</f>
        <v>Big Brioche</v>
      </c>
      <c r="R4" s="98" t="str">
        <f t="shared" si="11"/>
        <v>Ciabatta olive</v>
      </c>
      <c r="S4" s="98" t="str">
        <f t="shared" si="11"/>
        <v>Ciabatta naturale</v>
      </c>
      <c r="T4" s="98" t="str">
        <f t="shared" si="11"/>
        <v>Roggenmisch</v>
      </c>
      <c r="U4" s="98" t="str">
        <f t="shared" si="11"/>
        <v>Stockdorf SD</v>
      </c>
      <c r="V4" s="98" t="str">
        <f t="shared" si="11"/>
        <v>Seeded SD</v>
      </c>
      <c r="W4" s="98" t="str">
        <f t="shared" si="11"/>
        <v>Focaccia naturale</v>
      </c>
      <c r="X4" s="98" t="str">
        <f t="shared" si="11"/>
        <v>Focaccia pomodorini</v>
      </c>
      <c r="Y4" s="98">
        <f t="shared" si="11"/>
        <v>0</v>
      </c>
      <c r="AA4" s="97" t="s">
        <v>33</v>
      </c>
    </row>
    <row r="5" spans="2:38">
      <c r="B5" s="99" t="s">
        <v>114</v>
      </c>
      <c r="C5" s="100"/>
      <c r="D5" s="100">
        <v>0.1</v>
      </c>
      <c r="E5" s="100">
        <v>0.1</v>
      </c>
      <c r="F5" s="100"/>
      <c r="G5" s="100">
        <v>0.2</v>
      </c>
      <c r="H5" s="100">
        <v>0.1</v>
      </c>
      <c r="I5" s="100"/>
      <c r="J5" s="100"/>
      <c r="K5" s="100"/>
      <c r="M5" s="101">
        <f>SUM(C5:K5)</f>
        <v>0.5</v>
      </c>
      <c r="O5" s="102">
        <v>98</v>
      </c>
      <c r="P5" s="99" t="str">
        <f t="shared" ref="P5:P46" si="12">B5</f>
        <v>Acerola poeder</v>
      </c>
      <c r="Q5" s="103">
        <f>IFERROR($O5/1000*C5,0)</f>
        <v>0</v>
      </c>
      <c r="R5" s="103">
        <f t="shared" ref="R5:Y5" si="13">IFERROR($O5/1000*D5,0)</f>
        <v>9.8000000000000014E-3</v>
      </c>
      <c r="S5" s="103">
        <f t="shared" si="13"/>
        <v>9.8000000000000014E-3</v>
      </c>
      <c r="T5" s="103">
        <f t="shared" si="13"/>
        <v>0</v>
      </c>
      <c r="U5" s="103">
        <f t="shared" si="13"/>
        <v>1.9600000000000003E-2</v>
      </c>
      <c r="V5" s="103">
        <f t="shared" si="13"/>
        <v>9.8000000000000014E-3</v>
      </c>
      <c r="W5" s="103">
        <f t="shared" si="13"/>
        <v>0</v>
      </c>
      <c r="X5" s="103">
        <f t="shared" si="13"/>
        <v>0</v>
      </c>
      <c r="Y5" s="103">
        <f t="shared" si="13"/>
        <v>0</v>
      </c>
      <c r="AA5" s="104">
        <f t="shared" ref="AA5:AA46" si="14">SUM(Q5:Y5)</f>
        <v>4.9000000000000009E-2</v>
      </c>
      <c r="AG5" s="105"/>
      <c r="AL5" s="105"/>
    </row>
    <row r="6" spans="2:38">
      <c r="B6" s="99" t="s">
        <v>102</v>
      </c>
      <c r="C6" s="100">
        <v>3</v>
      </c>
      <c r="D6" s="100"/>
      <c r="E6" s="100"/>
      <c r="F6" s="100"/>
      <c r="G6" s="100"/>
      <c r="H6" s="100"/>
      <c r="I6" s="100"/>
      <c r="J6" s="100"/>
      <c r="K6" s="100"/>
      <c r="M6" s="101">
        <f t="shared" ref="M6:M46" si="15">SUM(C6:K6)</f>
        <v>3</v>
      </c>
      <c r="O6" s="102"/>
      <c r="P6" s="99" t="str">
        <f t="shared" si="12"/>
        <v>Amandel (geschaafd)</v>
      </c>
      <c r="Q6" s="103">
        <f t="shared" ref="Q6:Q46" si="16">IFERROR($O6/1000*C6,0)</f>
        <v>0</v>
      </c>
      <c r="R6" s="103">
        <f t="shared" ref="R6:R46" si="17">IFERROR($O6/1000*D6,0)</f>
        <v>0</v>
      </c>
      <c r="S6" s="103">
        <f t="shared" ref="S6:S46" si="18">IFERROR($O6/1000*E6,0)</f>
        <v>0</v>
      </c>
      <c r="T6" s="103">
        <f t="shared" ref="T6:T46" si="19">IFERROR($O6/1000*F6,0)</f>
        <v>0</v>
      </c>
      <c r="U6" s="103">
        <f t="shared" ref="U6:U46" si="20">IFERROR($O6/1000*G6,0)</f>
        <v>0</v>
      </c>
      <c r="V6" s="103">
        <f t="shared" ref="V6:V46" si="21">IFERROR($O6/1000*H6,0)</f>
        <v>0</v>
      </c>
      <c r="W6" s="103">
        <f t="shared" ref="W6:W46" si="22">IFERROR($O6/1000*I6,0)</f>
        <v>0</v>
      </c>
      <c r="X6" s="103">
        <f t="shared" ref="X6:X46" si="23">IFERROR($O6/1000*J6,0)</f>
        <v>0</v>
      </c>
      <c r="Y6" s="103">
        <f t="shared" ref="Y6:Y46" si="24">IFERROR($O6/1000*K6,0)</f>
        <v>0</v>
      </c>
      <c r="AA6" s="104">
        <f t="shared" si="14"/>
        <v>0</v>
      </c>
      <c r="AG6" s="105"/>
      <c r="AL6" s="105"/>
    </row>
    <row r="7" spans="2:38">
      <c r="B7" s="99" t="s">
        <v>28</v>
      </c>
      <c r="C7" s="100"/>
      <c r="D7" s="100"/>
      <c r="E7" s="100"/>
      <c r="F7" s="100"/>
      <c r="G7" s="100"/>
      <c r="H7" s="100"/>
      <c r="I7" s="100"/>
      <c r="J7" s="100"/>
      <c r="K7" s="100"/>
      <c r="M7" s="101">
        <f t="shared" si="15"/>
        <v>0</v>
      </c>
      <c r="O7" s="102">
        <v>17.440000000000001</v>
      </c>
      <c r="P7" s="99" t="str">
        <f t="shared" si="12"/>
        <v>Bakpoeder</v>
      </c>
      <c r="Q7" s="103">
        <f t="shared" si="16"/>
        <v>0</v>
      </c>
      <c r="R7" s="103">
        <f t="shared" si="17"/>
        <v>0</v>
      </c>
      <c r="S7" s="103">
        <f t="shared" si="18"/>
        <v>0</v>
      </c>
      <c r="T7" s="103">
        <f t="shared" si="19"/>
        <v>0</v>
      </c>
      <c r="U7" s="103">
        <f t="shared" si="20"/>
        <v>0</v>
      </c>
      <c r="V7" s="103">
        <f t="shared" si="21"/>
        <v>0</v>
      </c>
      <c r="W7" s="103">
        <f t="shared" si="22"/>
        <v>0</v>
      </c>
      <c r="X7" s="103">
        <f t="shared" si="23"/>
        <v>0</v>
      </c>
      <c r="Y7" s="103">
        <f t="shared" si="24"/>
        <v>0</v>
      </c>
      <c r="AA7" s="104">
        <f t="shared" si="14"/>
        <v>0</v>
      </c>
      <c r="AG7" s="94"/>
      <c r="AL7" s="94"/>
    </row>
    <row r="8" spans="2:38">
      <c r="B8" s="99" t="s">
        <v>115</v>
      </c>
      <c r="C8" s="100"/>
      <c r="D8" s="100"/>
      <c r="E8" s="100"/>
      <c r="F8" s="100"/>
      <c r="G8" s="100"/>
      <c r="H8" s="100"/>
      <c r="I8" s="100"/>
      <c r="J8" s="100"/>
      <c r="K8" s="100"/>
      <c r="M8" s="101">
        <f t="shared" si="15"/>
        <v>0</v>
      </c>
      <c r="O8" s="102">
        <v>4.49</v>
      </c>
      <c r="P8" s="99" t="str">
        <f t="shared" si="12"/>
        <v>Bio appels</v>
      </c>
      <c r="Q8" s="103">
        <f t="shared" si="16"/>
        <v>0</v>
      </c>
      <c r="R8" s="103">
        <f t="shared" si="17"/>
        <v>0</v>
      </c>
      <c r="S8" s="103">
        <f t="shared" si="18"/>
        <v>0</v>
      </c>
      <c r="T8" s="103">
        <f t="shared" si="19"/>
        <v>0</v>
      </c>
      <c r="U8" s="103">
        <f t="shared" si="20"/>
        <v>0</v>
      </c>
      <c r="V8" s="103">
        <f t="shared" si="21"/>
        <v>0</v>
      </c>
      <c r="W8" s="103">
        <f t="shared" si="22"/>
        <v>0</v>
      </c>
      <c r="X8" s="103">
        <f t="shared" si="23"/>
        <v>0</v>
      </c>
      <c r="Y8" s="103">
        <f t="shared" si="24"/>
        <v>0</v>
      </c>
      <c r="AA8" s="104">
        <f t="shared" si="14"/>
        <v>0</v>
      </c>
    </row>
    <row r="9" spans="2:38">
      <c r="B9" s="99" t="s">
        <v>15</v>
      </c>
      <c r="C9" s="100">
        <v>32</v>
      </c>
      <c r="D9" s="100"/>
      <c r="E9" s="100"/>
      <c r="F9" s="100"/>
      <c r="G9" s="100"/>
      <c r="H9" s="100"/>
      <c r="I9" s="100"/>
      <c r="J9" s="100"/>
      <c r="K9" s="100"/>
      <c r="M9" s="101">
        <f t="shared" si="15"/>
        <v>32</v>
      </c>
      <c r="O9" s="102">
        <v>2.99</v>
      </c>
      <c r="P9" s="99" t="str">
        <f t="shared" si="12"/>
        <v>Boter</v>
      </c>
      <c r="Q9" s="103">
        <f t="shared" si="16"/>
        <v>9.5680000000000001E-2</v>
      </c>
      <c r="R9" s="103">
        <f t="shared" si="17"/>
        <v>0</v>
      </c>
      <c r="S9" s="103">
        <f t="shared" si="18"/>
        <v>0</v>
      </c>
      <c r="T9" s="103">
        <f t="shared" si="19"/>
        <v>0</v>
      </c>
      <c r="U9" s="103">
        <f t="shared" si="20"/>
        <v>0</v>
      </c>
      <c r="V9" s="103">
        <f t="shared" si="21"/>
        <v>0</v>
      </c>
      <c r="W9" s="103">
        <f t="shared" si="22"/>
        <v>0</v>
      </c>
      <c r="X9" s="103">
        <f t="shared" si="23"/>
        <v>0</v>
      </c>
      <c r="Y9" s="103">
        <f t="shared" si="24"/>
        <v>0</v>
      </c>
      <c r="AA9" s="104">
        <f t="shared" si="14"/>
        <v>9.5680000000000001E-2</v>
      </c>
      <c r="AG9" s="94"/>
      <c r="AL9" s="94"/>
    </row>
    <row r="10" spans="2:38">
      <c r="B10" s="99" t="s">
        <v>29</v>
      </c>
      <c r="C10" s="100"/>
      <c r="D10" s="100"/>
      <c r="E10" s="100"/>
      <c r="F10" s="100"/>
      <c r="G10" s="100"/>
      <c r="H10" s="100"/>
      <c r="I10" s="100"/>
      <c r="J10" s="100"/>
      <c r="K10" s="100"/>
      <c r="M10" s="101">
        <f t="shared" si="15"/>
        <v>0</v>
      </c>
      <c r="O10" s="102">
        <v>35.92</v>
      </c>
      <c r="P10" s="99" t="str">
        <f t="shared" si="12"/>
        <v>Cacaopoeder</v>
      </c>
      <c r="Q10" s="103">
        <f t="shared" si="16"/>
        <v>0</v>
      </c>
      <c r="R10" s="103">
        <f t="shared" si="17"/>
        <v>0</v>
      </c>
      <c r="S10" s="103">
        <f t="shared" si="18"/>
        <v>0</v>
      </c>
      <c r="T10" s="103">
        <f t="shared" si="19"/>
        <v>0</v>
      </c>
      <c r="U10" s="103">
        <f t="shared" si="20"/>
        <v>0</v>
      </c>
      <c r="V10" s="103">
        <f t="shared" si="21"/>
        <v>0</v>
      </c>
      <c r="W10" s="103">
        <f t="shared" si="22"/>
        <v>0</v>
      </c>
      <c r="X10" s="103">
        <f t="shared" si="23"/>
        <v>0</v>
      </c>
      <c r="Y10" s="103">
        <f t="shared" si="24"/>
        <v>0</v>
      </c>
      <c r="AA10" s="104">
        <f t="shared" si="14"/>
        <v>0</v>
      </c>
    </row>
    <row r="11" spans="2:38">
      <c r="B11" s="99" t="s">
        <v>17</v>
      </c>
      <c r="C11" s="100">
        <v>5</v>
      </c>
      <c r="D11" s="100"/>
      <c r="E11" s="100"/>
      <c r="F11" s="100"/>
      <c r="G11" s="100"/>
      <c r="H11" s="100"/>
      <c r="I11" s="100"/>
      <c r="J11" s="100"/>
      <c r="K11" s="100"/>
      <c r="M11" s="101">
        <f t="shared" si="15"/>
        <v>5</v>
      </c>
      <c r="O11" s="102">
        <v>8.6</v>
      </c>
      <c r="P11" s="99" t="str">
        <f t="shared" si="12"/>
        <v>Ei</v>
      </c>
      <c r="Q11" s="103">
        <f t="shared" si="16"/>
        <v>4.2999999999999997E-2</v>
      </c>
      <c r="R11" s="103">
        <f t="shared" si="17"/>
        <v>0</v>
      </c>
      <c r="S11" s="103">
        <f t="shared" si="18"/>
        <v>0</v>
      </c>
      <c r="T11" s="103">
        <f t="shared" si="19"/>
        <v>0</v>
      </c>
      <c r="U11" s="103">
        <f t="shared" si="20"/>
        <v>0</v>
      </c>
      <c r="V11" s="103">
        <f t="shared" si="21"/>
        <v>0</v>
      </c>
      <c r="W11" s="103">
        <f t="shared" si="22"/>
        <v>0</v>
      </c>
      <c r="X11" s="103">
        <f t="shared" si="23"/>
        <v>0</v>
      </c>
      <c r="Y11" s="103">
        <f t="shared" si="24"/>
        <v>0</v>
      </c>
      <c r="AA11" s="104">
        <f t="shared" si="14"/>
        <v>4.2999999999999997E-2</v>
      </c>
      <c r="AG11" s="105"/>
    </row>
    <row r="12" spans="2:38">
      <c r="B12" s="99" t="s">
        <v>53</v>
      </c>
      <c r="C12" s="100">
        <v>4</v>
      </c>
      <c r="D12" s="100">
        <v>0.9</v>
      </c>
      <c r="E12" s="100">
        <v>0.9</v>
      </c>
      <c r="F12" s="100"/>
      <c r="G12" s="100"/>
      <c r="H12" s="100"/>
      <c r="I12" s="100">
        <v>2</v>
      </c>
      <c r="J12" s="100">
        <v>2</v>
      </c>
      <c r="K12" s="100"/>
      <c r="M12" s="101">
        <f t="shared" si="15"/>
        <v>9.8000000000000007</v>
      </c>
      <c r="O12" s="102">
        <v>4.5199999999999996</v>
      </c>
      <c r="P12" s="99" t="str">
        <f t="shared" si="12"/>
        <v>Gist (vers)</v>
      </c>
      <c r="Q12" s="103">
        <f t="shared" si="16"/>
        <v>1.8079999999999999E-2</v>
      </c>
      <c r="R12" s="103">
        <f t="shared" si="17"/>
        <v>4.0679999999999996E-3</v>
      </c>
      <c r="S12" s="103">
        <f t="shared" si="18"/>
        <v>4.0679999999999996E-3</v>
      </c>
      <c r="T12" s="103">
        <f t="shared" si="19"/>
        <v>0</v>
      </c>
      <c r="U12" s="103">
        <f t="shared" si="20"/>
        <v>0</v>
      </c>
      <c r="V12" s="103">
        <f t="shared" si="21"/>
        <v>0</v>
      </c>
      <c r="W12" s="103">
        <f t="shared" si="22"/>
        <v>9.0399999999999994E-3</v>
      </c>
      <c r="X12" s="103">
        <f t="shared" si="23"/>
        <v>9.0399999999999994E-3</v>
      </c>
      <c r="Y12" s="103">
        <f t="shared" si="24"/>
        <v>0</v>
      </c>
      <c r="AA12" s="104">
        <f t="shared" si="14"/>
        <v>4.4295999999999995E-2</v>
      </c>
      <c r="AG12" s="105"/>
    </row>
    <row r="13" spans="2:38">
      <c r="B13" s="99" t="s">
        <v>101</v>
      </c>
      <c r="C13" s="100">
        <v>5</v>
      </c>
      <c r="D13" s="100"/>
      <c r="E13" s="100"/>
      <c r="F13" s="100"/>
      <c r="G13" s="100"/>
      <c r="H13" s="100"/>
      <c r="I13" s="100"/>
      <c r="J13" s="100"/>
      <c r="K13" s="100"/>
      <c r="M13" s="101">
        <f t="shared" si="15"/>
        <v>5</v>
      </c>
      <c r="O13" s="103">
        <v>3.65</v>
      </c>
      <c r="P13" s="99" t="str">
        <f t="shared" si="12"/>
        <v>Hagelzucker</v>
      </c>
      <c r="Q13" s="103">
        <f t="shared" si="16"/>
        <v>1.8249999999999999E-2</v>
      </c>
      <c r="R13" s="103">
        <f t="shared" si="17"/>
        <v>0</v>
      </c>
      <c r="S13" s="103">
        <f t="shared" si="18"/>
        <v>0</v>
      </c>
      <c r="T13" s="103">
        <f t="shared" si="19"/>
        <v>0</v>
      </c>
      <c r="U13" s="103">
        <f t="shared" si="20"/>
        <v>0</v>
      </c>
      <c r="V13" s="103">
        <f t="shared" si="21"/>
        <v>0</v>
      </c>
      <c r="W13" s="103">
        <f t="shared" si="22"/>
        <v>0</v>
      </c>
      <c r="X13" s="103">
        <f t="shared" si="23"/>
        <v>0</v>
      </c>
      <c r="Y13" s="103">
        <f t="shared" si="24"/>
        <v>0</v>
      </c>
      <c r="AA13" s="104">
        <f t="shared" si="14"/>
        <v>1.8249999999999999E-2</v>
      </c>
      <c r="AG13" s="94"/>
    </row>
    <row r="14" spans="2:38">
      <c r="B14" s="99" t="s">
        <v>36</v>
      </c>
      <c r="C14" s="100"/>
      <c r="D14" s="100"/>
      <c r="E14" s="100"/>
      <c r="F14" s="100"/>
      <c r="G14" s="100"/>
      <c r="H14" s="100"/>
      <c r="I14" s="100"/>
      <c r="J14" s="100"/>
      <c r="K14" s="100"/>
      <c r="M14" s="101">
        <f t="shared" si="15"/>
        <v>0</v>
      </c>
      <c r="O14" s="103">
        <v>1.6</v>
      </c>
      <c r="P14" s="99" t="str">
        <f t="shared" si="12"/>
        <v>Havervlokken</v>
      </c>
      <c r="Q14" s="103">
        <f t="shared" si="16"/>
        <v>0</v>
      </c>
      <c r="R14" s="103">
        <f t="shared" si="17"/>
        <v>0</v>
      </c>
      <c r="S14" s="103">
        <f t="shared" si="18"/>
        <v>0</v>
      </c>
      <c r="T14" s="103">
        <f t="shared" si="19"/>
        <v>0</v>
      </c>
      <c r="U14" s="103">
        <f t="shared" si="20"/>
        <v>0</v>
      </c>
      <c r="V14" s="103">
        <f t="shared" si="21"/>
        <v>0</v>
      </c>
      <c r="W14" s="103">
        <f t="shared" si="22"/>
        <v>0</v>
      </c>
      <c r="X14" s="103">
        <f t="shared" si="23"/>
        <v>0</v>
      </c>
      <c r="Y14" s="103">
        <f t="shared" si="24"/>
        <v>0</v>
      </c>
      <c r="AA14" s="104">
        <f t="shared" si="14"/>
        <v>0</v>
      </c>
      <c r="AG14" s="94"/>
    </row>
    <row r="15" spans="2:38">
      <c r="B15" s="99" t="s">
        <v>37</v>
      </c>
      <c r="C15" s="100"/>
      <c r="D15" s="100"/>
      <c r="E15" s="100"/>
      <c r="F15" s="100"/>
      <c r="G15" s="100"/>
      <c r="H15" s="100"/>
      <c r="I15" s="100"/>
      <c r="J15" s="100"/>
      <c r="K15" s="100"/>
      <c r="M15" s="101">
        <f t="shared" si="15"/>
        <v>0</v>
      </c>
      <c r="O15" s="103">
        <v>10.8</v>
      </c>
      <c r="P15" s="99" t="str">
        <f t="shared" si="12"/>
        <v>Honing</v>
      </c>
      <c r="Q15" s="103">
        <f t="shared" si="16"/>
        <v>0</v>
      </c>
      <c r="R15" s="103">
        <f t="shared" si="17"/>
        <v>0</v>
      </c>
      <c r="S15" s="103">
        <f t="shared" si="18"/>
        <v>0</v>
      </c>
      <c r="T15" s="103">
        <f t="shared" si="19"/>
        <v>0</v>
      </c>
      <c r="U15" s="103">
        <f t="shared" si="20"/>
        <v>0</v>
      </c>
      <c r="V15" s="103">
        <f t="shared" si="21"/>
        <v>0</v>
      </c>
      <c r="W15" s="103">
        <f t="shared" si="22"/>
        <v>0</v>
      </c>
      <c r="X15" s="103">
        <f t="shared" si="23"/>
        <v>0</v>
      </c>
      <c r="Y15" s="103">
        <f t="shared" si="24"/>
        <v>0</v>
      </c>
      <c r="AA15" s="104">
        <f t="shared" si="14"/>
        <v>0</v>
      </c>
    </row>
    <row r="16" spans="2:38">
      <c r="B16" s="99" t="s">
        <v>117</v>
      </c>
      <c r="C16" s="100"/>
      <c r="D16" s="100"/>
      <c r="E16" s="100"/>
      <c r="F16" s="100"/>
      <c r="G16" s="100"/>
      <c r="H16" s="100"/>
      <c r="I16" s="100"/>
      <c r="J16" s="100"/>
      <c r="K16" s="100"/>
      <c r="M16" s="101">
        <f t="shared" si="15"/>
        <v>0</v>
      </c>
      <c r="O16" s="102">
        <v>3.19</v>
      </c>
      <c r="P16" s="99" t="str">
        <f t="shared" si="12"/>
        <v>Jus d'orange</v>
      </c>
      <c r="Q16" s="103">
        <f t="shared" si="16"/>
        <v>0</v>
      </c>
      <c r="R16" s="103">
        <f t="shared" si="17"/>
        <v>0</v>
      </c>
      <c r="S16" s="103">
        <f t="shared" si="18"/>
        <v>0</v>
      </c>
      <c r="T16" s="103">
        <f t="shared" si="19"/>
        <v>0</v>
      </c>
      <c r="U16" s="103">
        <f t="shared" si="20"/>
        <v>0</v>
      </c>
      <c r="V16" s="103">
        <f t="shared" si="21"/>
        <v>0</v>
      </c>
      <c r="W16" s="103">
        <f t="shared" si="22"/>
        <v>0</v>
      </c>
      <c r="X16" s="103">
        <f t="shared" si="23"/>
        <v>0</v>
      </c>
      <c r="Y16" s="103">
        <f t="shared" si="24"/>
        <v>0</v>
      </c>
      <c r="AA16" s="104">
        <f t="shared" si="14"/>
        <v>0</v>
      </c>
    </row>
    <row r="17" spans="2:27">
      <c r="B17" s="99" t="s">
        <v>116</v>
      </c>
      <c r="C17" s="100"/>
      <c r="D17" s="100"/>
      <c r="E17" s="100"/>
      <c r="F17" s="100"/>
      <c r="G17" s="100"/>
      <c r="H17" s="100"/>
      <c r="I17" s="100"/>
      <c r="J17" s="100"/>
      <c r="K17" s="100"/>
      <c r="M17" s="101">
        <f t="shared" si="15"/>
        <v>0</v>
      </c>
      <c r="O17" s="102">
        <v>22</v>
      </c>
      <c r="P17" s="99" t="str">
        <f t="shared" si="12"/>
        <v>Kaneel</v>
      </c>
      <c r="Q17" s="103">
        <f t="shared" si="16"/>
        <v>0</v>
      </c>
      <c r="R17" s="103">
        <f t="shared" si="17"/>
        <v>0</v>
      </c>
      <c r="S17" s="103">
        <f t="shared" si="18"/>
        <v>0</v>
      </c>
      <c r="T17" s="103">
        <f t="shared" si="19"/>
        <v>0</v>
      </c>
      <c r="U17" s="103">
        <f t="shared" si="20"/>
        <v>0</v>
      </c>
      <c r="V17" s="103">
        <f t="shared" si="21"/>
        <v>0</v>
      </c>
      <c r="W17" s="103">
        <f t="shared" si="22"/>
        <v>0</v>
      </c>
      <c r="X17" s="103">
        <f t="shared" si="23"/>
        <v>0</v>
      </c>
      <c r="Y17" s="103">
        <f t="shared" si="24"/>
        <v>0</v>
      </c>
      <c r="AA17" s="104">
        <f t="shared" si="14"/>
        <v>0</v>
      </c>
    </row>
    <row r="18" spans="2:27">
      <c r="B18" s="99" t="s">
        <v>18</v>
      </c>
      <c r="C18" s="100">
        <v>65</v>
      </c>
      <c r="D18" s="100"/>
      <c r="E18" s="100"/>
      <c r="F18" s="100"/>
      <c r="G18" s="100"/>
      <c r="H18" s="100"/>
      <c r="I18" s="100"/>
      <c r="J18" s="100"/>
      <c r="K18" s="100"/>
      <c r="M18" s="101">
        <f t="shared" si="15"/>
        <v>65</v>
      </c>
      <c r="O18" s="102">
        <v>1.5</v>
      </c>
      <c r="P18" s="99" t="str">
        <f t="shared" si="12"/>
        <v>Melk</v>
      </c>
      <c r="Q18" s="103">
        <f t="shared" si="16"/>
        <v>9.7500000000000003E-2</v>
      </c>
      <c r="R18" s="103">
        <f t="shared" si="17"/>
        <v>0</v>
      </c>
      <c r="S18" s="103">
        <f t="shared" si="18"/>
        <v>0</v>
      </c>
      <c r="T18" s="103">
        <f t="shared" si="19"/>
        <v>0</v>
      </c>
      <c r="U18" s="103">
        <f t="shared" si="20"/>
        <v>0</v>
      </c>
      <c r="V18" s="103">
        <f t="shared" si="21"/>
        <v>0</v>
      </c>
      <c r="W18" s="103">
        <f t="shared" si="22"/>
        <v>0</v>
      </c>
      <c r="X18" s="103">
        <f t="shared" si="23"/>
        <v>0</v>
      </c>
      <c r="Y18" s="103">
        <f t="shared" si="24"/>
        <v>0</v>
      </c>
      <c r="AA18" s="104">
        <f t="shared" si="14"/>
        <v>9.7500000000000003E-2</v>
      </c>
    </row>
    <row r="19" spans="2:27">
      <c r="B19" s="99" t="s">
        <v>39</v>
      </c>
      <c r="C19" s="100"/>
      <c r="D19" s="100">
        <v>3</v>
      </c>
      <c r="E19" s="100">
        <v>3</v>
      </c>
      <c r="F19" s="100"/>
      <c r="G19" s="100"/>
      <c r="H19" s="100"/>
      <c r="I19" s="100">
        <v>50</v>
      </c>
      <c r="J19" s="100">
        <v>50</v>
      </c>
      <c r="K19" s="100"/>
      <c r="M19" s="101">
        <f t="shared" si="15"/>
        <v>106</v>
      </c>
      <c r="O19" s="103">
        <v>10.99</v>
      </c>
      <c r="P19" s="99" t="str">
        <f t="shared" si="12"/>
        <v>Olijfolie</v>
      </c>
      <c r="Q19" s="103">
        <f t="shared" si="16"/>
        <v>0</v>
      </c>
      <c r="R19" s="103">
        <f t="shared" si="17"/>
        <v>3.2969999999999999E-2</v>
      </c>
      <c r="S19" s="103">
        <f t="shared" si="18"/>
        <v>3.2969999999999999E-2</v>
      </c>
      <c r="T19" s="103">
        <f t="shared" si="19"/>
        <v>0</v>
      </c>
      <c r="U19" s="103">
        <f t="shared" si="20"/>
        <v>0</v>
      </c>
      <c r="V19" s="103">
        <f t="shared" si="21"/>
        <v>0</v>
      </c>
      <c r="W19" s="103">
        <f t="shared" si="22"/>
        <v>0.54949999999999999</v>
      </c>
      <c r="X19" s="103">
        <f t="shared" si="23"/>
        <v>0.54949999999999999</v>
      </c>
      <c r="Y19" s="103">
        <f t="shared" si="24"/>
        <v>0</v>
      </c>
      <c r="AA19" s="104">
        <f t="shared" si="14"/>
        <v>1.1649400000000001</v>
      </c>
    </row>
    <row r="20" spans="2:27">
      <c r="B20" s="99" t="s">
        <v>91</v>
      </c>
      <c r="C20" s="100"/>
      <c r="D20" s="100">
        <v>36</v>
      </c>
      <c r="E20" s="100"/>
      <c r="F20" s="100"/>
      <c r="G20" s="100"/>
      <c r="H20" s="100"/>
      <c r="I20" s="100"/>
      <c r="J20" s="100"/>
      <c r="K20" s="100"/>
      <c r="M20" s="101">
        <f t="shared" si="15"/>
        <v>36</v>
      </c>
      <c r="O20" s="103">
        <f>9.99/935*1000</f>
        <v>10.684491978609627</v>
      </c>
      <c r="P20" s="99" t="str">
        <f t="shared" si="12"/>
        <v>Olijfringen (zwart)</v>
      </c>
      <c r="Q20" s="103">
        <f t="shared" si="16"/>
        <v>0</v>
      </c>
      <c r="R20" s="103">
        <f t="shared" si="17"/>
        <v>0.38464171122994656</v>
      </c>
      <c r="S20" s="103">
        <f t="shared" si="18"/>
        <v>0</v>
      </c>
      <c r="T20" s="103">
        <f t="shared" si="19"/>
        <v>0</v>
      </c>
      <c r="U20" s="103">
        <f t="shared" si="20"/>
        <v>0</v>
      </c>
      <c r="V20" s="103">
        <f t="shared" si="21"/>
        <v>0</v>
      </c>
      <c r="W20" s="103">
        <f t="shared" si="22"/>
        <v>0</v>
      </c>
      <c r="X20" s="103">
        <f t="shared" si="23"/>
        <v>0</v>
      </c>
      <c r="Y20" s="103">
        <f t="shared" si="24"/>
        <v>0</v>
      </c>
      <c r="AA20" s="104">
        <f t="shared" si="14"/>
        <v>0.38464171122994656</v>
      </c>
    </row>
    <row r="21" spans="2:27">
      <c r="B21" s="99" t="s">
        <v>104</v>
      </c>
      <c r="C21" s="100"/>
      <c r="D21" s="100">
        <v>0.4</v>
      </c>
      <c r="E21" s="100"/>
      <c r="F21" s="100"/>
      <c r="G21" s="100"/>
      <c r="H21" s="100"/>
      <c r="I21" s="100"/>
      <c r="J21" s="100"/>
      <c r="K21" s="100"/>
      <c r="M21" s="101">
        <f t="shared" si="15"/>
        <v>0.4</v>
      </c>
      <c r="O21" s="103"/>
      <c r="P21" s="99" t="str">
        <f t="shared" si="12"/>
        <v>Oregano (gedroogd)</v>
      </c>
      <c r="Q21" s="103">
        <f t="shared" si="16"/>
        <v>0</v>
      </c>
      <c r="R21" s="103">
        <f t="shared" si="17"/>
        <v>0</v>
      </c>
      <c r="S21" s="103">
        <f t="shared" si="18"/>
        <v>0</v>
      </c>
      <c r="T21" s="103">
        <f t="shared" si="19"/>
        <v>0</v>
      </c>
      <c r="U21" s="103">
        <f t="shared" si="20"/>
        <v>0</v>
      </c>
      <c r="V21" s="103">
        <f t="shared" si="21"/>
        <v>0</v>
      </c>
      <c r="W21" s="103">
        <f t="shared" si="22"/>
        <v>0</v>
      </c>
      <c r="X21" s="103">
        <f t="shared" si="23"/>
        <v>0</v>
      </c>
      <c r="Y21" s="103">
        <f t="shared" si="24"/>
        <v>0</v>
      </c>
      <c r="AA21" s="104">
        <f t="shared" si="14"/>
        <v>0</v>
      </c>
    </row>
    <row r="22" spans="2:27">
      <c r="B22" s="99" t="s">
        <v>64</v>
      </c>
      <c r="C22" s="100"/>
      <c r="D22" s="100"/>
      <c r="E22" s="100"/>
      <c r="F22" s="100"/>
      <c r="G22" s="100"/>
      <c r="H22" s="100"/>
      <c r="I22" s="100"/>
      <c r="J22" s="100"/>
      <c r="K22" s="100"/>
      <c r="M22" s="101">
        <f t="shared" si="15"/>
        <v>0</v>
      </c>
      <c r="O22" s="102">
        <v>1.36</v>
      </c>
      <c r="P22" s="99" t="str">
        <f t="shared" si="12"/>
        <v>Rogge T130/1150</v>
      </c>
      <c r="Q22" s="103">
        <f t="shared" si="16"/>
        <v>0</v>
      </c>
      <c r="R22" s="103">
        <f t="shared" si="17"/>
        <v>0</v>
      </c>
      <c r="S22" s="103">
        <f t="shared" si="18"/>
        <v>0</v>
      </c>
      <c r="T22" s="103">
        <f t="shared" si="19"/>
        <v>0</v>
      </c>
      <c r="U22" s="103">
        <f t="shared" si="20"/>
        <v>0</v>
      </c>
      <c r="V22" s="103">
        <f t="shared" si="21"/>
        <v>0</v>
      </c>
      <c r="W22" s="103">
        <f t="shared" si="22"/>
        <v>0</v>
      </c>
      <c r="X22" s="103">
        <f t="shared" si="23"/>
        <v>0</v>
      </c>
      <c r="Y22" s="103">
        <f t="shared" si="24"/>
        <v>0</v>
      </c>
      <c r="AA22" s="104">
        <f t="shared" si="14"/>
        <v>0</v>
      </c>
    </row>
    <row r="23" spans="2:27">
      <c r="B23" s="99" t="s">
        <v>107</v>
      </c>
      <c r="C23" s="100"/>
      <c r="D23" s="100"/>
      <c r="E23" s="100"/>
      <c r="F23" s="100"/>
      <c r="G23" s="100"/>
      <c r="H23" s="100"/>
      <c r="I23" s="100"/>
      <c r="J23" s="100"/>
      <c r="K23" s="100"/>
      <c r="M23" s="101">
        <f t="shared" si="15"/>
        <v>0</v>
      </c>
      <c r="O23" s="102">
        <v>1.96</v>
      </c>
      <c r="P23" s="99" t="str">
        <f t="shared" si="12"/>
        <v>Rogge T170/Vollkorn</v>
      </c>
      <c r="Q23" s="103">
        <f t="shared" si="16"/>
        <v>0</v>
      </c>
      <c r="R23" s="103">
        <f t="shared" si="17"/>
        <v>0</v>
      </c>
      <c r="S23" s="103">
        <f t="shared" si="18"/>
        <v>0</v>
      </c>
      <c r="T23" s="103">
        <f t="shared" si="19"/>
        <v>0</v>
      </c>
      <c r="U23" s="103">
        <f t="shared" si="20"/>
        <v>0</v>
      </c>
      <c r="V23" s="103">
        <f t="shared" si="21"/>
        <v>0</v>
      </c>
      <c r="W23" s="103">
        <f t="shared" si="22"/>
        <v>0</v>
      </c>
      <c r="X23" s="103">
        <f t="shared" si="23"/>
        <v>0</v>
      </c>
      <c r="Y23" s="103">
        <f t="shared" si="24"/>
        <v>0</v>
      </c>
      <c r="AA23" s="104">
        <f t="shared" si="14"/>
        <v>0</v>
      </c>
    </row>
    <row r="24" spans="2:27">
      <c r="B24" s="99" t="s">
        <v>98</v>
      </c>
      <c r="C24" s="100"/>
      <c r="D24" s="100"/>
      <c r="E24" s="100"/>
      <c r="F24" s="100"/>
      <c r="G24" s="100"/>
      <c r="H24" s="100"/>
      <c r="I24" s="100"/>
      <c r="J24" s="100"/>
      <c r="K24" s="100"/>
      <c r="M24" s="101">
        <f t="shared" si="15"/>
        <v>0</v>
      </c>
      <c r="O24" s="102">
        <v>1.36</v>
      </c>
      <c r="P24" s="99" t="str">
        <f t="shared" si="12"/>
        <v>Rogge T85/997</v>
      </c>
      <c r="Q24" s="103">
        <f t="shared" si="16"/>
        <v>0</v>
      </c>
      <c r="R24" s="103">
        <f t="shared" si="17"/>
        <v>0</v>
      </c>
      <c r="S24" s="103">
        <f t="shared" si="18"/>
        <v>0</v>
      </c>
      <c r="T24" s="103">
        <f t="shared" si="19"/>
        <v>0</v>
      </c>
      <c r="U24" s="103">
        <f t="shared" si="20"/>
        <v>0</v>
      </c>
      <c r="V24" s="103">
        <f t="shared" si="21"/>
        <v>0</v>
      </c>
      <c r="W24" s="103">
        <f t="shared" si="22"/>
        <v>0</v>
      </c>
      <c r="X24" s="103">
        <f t="shared" si="23"/>
        <v>0</v>
      </c>
      <c r="Y24" s="103">
        <f t="shared" si="24"/>
        <v>0</v>
      </c>
      <c r="AA24" s="104">
        <f t="shared" si="14"/>
        <v>0</v>
      </c>
    </row>
    <row r="25" spans="2:27">
      <c r="B25" s="99" t="s">
        <v>103</v>
      </c>
      <c r="C25" s="100"/>
      <c r="D25" s="100"/>
      <c r="E25" s="100"/>
      <c r="F25" s="100"/>
      <c r="G25" s="100"/>
      <c r="H25" s="100"/>
      <c r="I25" s="100">
        <v>1</v>
      </c>
      <c r="J25" s="100">
        <v>1</v>
      </c>
      <c r="K25" s="100"/>
      <c r="M25" s="101">
        <f t="shared" si="15"/>
        <v>2</v>
      </c>
      <c r="O25" s="102"/>
      <c r="P25" s="99" t="str">
        <f t="shared" si="12"/>
        <v>Rozemarijn (gedroogd)</v>
      </c>
      <c r="Q25" s="103">
        <f t="shared" si="16"/>
        <v>0</v>
      </c>
      <c r="R25" s="103">
        <f t="shared" si="17"/>
        <v>0</v>
      </c>
      <c r="S25" s="103">
        <f t="shared" si="18"/>
        <v>0</v>
      </c>
      <c r="T25" s="103">
        <f t="shared" si="19"/>
        <v>0</v>
      </c>
      <c r="U25" s="103">
        <f t="shared" si="20"/>
        <v>0</v>
      </c>
      <c r="V25" s="103">
        <f t="shared" si="21"/>
        <v>0</v>
      </c>
      <c r="W25" s="103">
        <f t="shared" si="22"/>
        <v>0</v>
      </c>
      <c r="X25" s="103">
        <f t="shared" si="23"/>
        <v>0</v>
      </c>
      <c r="Y25" s="103">
        <f t="shared" si="24"/>
        <v>0</v>
      </c>
      <c r="AA25" s="104">
        <f t="shared" si="14"/>
        <v>0</v>
      </c>
    </row>
    <row r="26" spans="2:27">
      <c r="B26" s="106" t="s">
        <v>99</v>
      </c>
      <c r="C26" s="100">
        <v>2</v>
      </c>
      <c r="D26" s="100"/>
      <c r="E26" s="100"/>
      <c r="F26" s="100"/>
      <c r="G26" s="100"/>
      <c r="H26" s="100"/>
      <c r="I26" s="100"/>
      <c r="J26" s="100"/>
      <c r="K26" s="100"/>
      <c r="M26" s="101">
        <f t="shared" si="15"/>
        <v>2</v>
      </c>
      <c r="O26" s="103">
        <v>10.7</v>
      </c>
      <c r="P26" s="99" t="str">
        <f t="shared" si="12"/>
        <v>Rum</v>
      </c>
      <c r="Q26" s="103">
        <f t="shared" si="16"/>
        <v>2.1399999999999999E-2</v>
      </c>
      <c r="R26" s="103">
        <f t="shared" si="17"/>
        <v>0</v>
      </c>
      <c r="S26" s="103">
        <f t="shared" si="18"/>
        <v>0</v>
      </c>
      <c r="T26" s="103">
        <f t="shared" si="19"/>
        <v>0</v>
      </c>
      <c r="U26" s="103">
        <f t="shared" si="20"/>
        <v>0</v>
      </c>
      <c r="V26" s="103">
        <f t="shared" si="21"/>
        <v>0</v>
      </c>
      <c r="W26" s="103">
        <f t="shared" si="22"/>
        <v>0</v>
      </c>
      <c r="X26" s="103">
        <f t="shared" si="23"/>
        <v>0</v>
      </c>
      <c r="Y26" s="103">
        <f t="shared" si="24"/>
        <v>0</v>
      </c>
      <c r="AA26" s="104">
        <f t="shared" si="14"/>
        <v>2.1399999999999999E-2</v>
      </c>
    </row>
    <row r="27" spans="2:27">
      <c r="B27" s="106" t="s">
        <v>96</v>
      </c>
      <c r="C27" s="100"/>
      <c r="D27" s="100"/>
      <c r="E27" s="100"/>
      <c r="F27" s="100"/>
      <c r="G27" s="100"/>
      <c r="H27" s="100"/>
      <c r="I27" s="100"/>
      <c r="J27" s="100"/>
      <c r="K27" s="100"/>
      <c r="M27" s="101">
        <f t="shared" si="15"/>
        <v>0</v>
      </c>
      <c r="O27" s="103">
        <v>3.49</v>
      </c>
      <c r="P27" s="99" t="str">
        <f t="shared" si="12"/>
        <v>Semola/Durum/Hartweizen</v>
      </c>
      <c r="Q27" s="103">
        <f t="shared" si="16"/>
        <v>0</v>
      </c>
      <c r="R27" s="103">
        <f t="shared" si="17"/>
        <v>0</v>
      </c>
      <c r="S27" s="103">
        <f t="shared" si="18"/>
        <v>0</v>
      </c>
      <c r="T27" s="103">
        <f t="shared" si="19"/>
        <v>0</v>
      </c>
      <c r="U27" s="103">
        <f t="shared" si="20"/>
        <v>0</v>
      </c>
      <c r="V27" s="103">
        <f t="shared" si="21"/>
        <v>0</v>
      </c>
      <c r="W27" s="103">
        <f t="shared" si="22"/>
        <v>0</v>
      </c>
      <c r="X27" s="103">
        <f t="shared" si="23"/>
        <v>0</v>
      </c>
      <c r="Y27" s="103">
        <f t="shared" si="24"/>
        <v>0</v>
      </c>
      <c r="AA27" s="104">
        <f t="shared" si="14"/>
        <v>0</v>
      </c>
    </row>
    <row r="28" spans="2:27">
      <c r="B28" s="106" t="s">
        <v>105</v>
      </c>
      <c r="C28" s="100"/>
      <c r="D28" s="100"/>
      <c r="E28" s="100"/>
      <c r="F28" s="100"/>
      <c r="G28" s="100"/>
      <c r="H28" s="100"/>
      <c r="I28" s="100"/>
      <c r="J28" s="100"/>
      <c r="K28" s="100"/>
      <c r="M28" s="101">
        <f t="shared" si="15"/>
        <v>0</v>
      </c>
      <c r="O28" s="103">
        <v>8.41</v>
      </c>
      <c r="P28" s="99" t="str">
        <f t="shared" si="12"/>
        <v>Sesam (zwart)</v>
      </c>
      <c r="Q28" s="103">
        <f t="shared" si="16"/>
        <v>0</v>
      </c>
      <c r="R28" s="103">
        <f t="shared" si="17"/>
        <v>0</v>
      </c>
      <c r="S28" s="103">
        <f t="shared" si="18"/>
        <v>0</v>
      </c>
      <c r="T28" s="103">
        <f t="shared" si="19"/>
        <v>0</v>
      </c>
      <c r="U28" s="103">
        <f t="shared" si="20"/>
        <v>0</v>
      </c>
      <c r="V28" s="103">
        <f t="shared" si="21"/>
        <v>0</v>
      </c>
      <c r="W28" s="103">
        <f t="shared" si="22"/>
        <v>0</v>
      </c>
      <c r="X28" s="103">
        <f t="shared" si="23"/>
        <v>0</v>
      </c>
      <c r="Y28" s="103">
        <f t="shared" si="24"/>
        <v>0</v>
      </c>
      <c r="AA28" s="104">
        <f t="shared" si="14"/>
        <v>0</v>
      </c>
    </row>
    <row r="29" spans="2:27">
      <c r="B29" s="99" t="s">
        <v>74</v>
      </c>
      <c r="C29" s="100"/>
      <c r="D29" s="100"/>
      <c r="E29" s="100"/>
      <c r="F29" s="100"/>
      <c r="G29" s="100"/>
      <c r="H29" s="100"/>
      <c r="I29" s="100"/>
      <c r="J29" s="100"/>
      <c r="K29" s="100"/>
      <c r="M29" s="101">
        <f t="shared" si="15"/>
        <v>0</v>
      </c>
      <c r="O29" s="102">
        <v>3.64</v>
      </c>
      <c r="P29" s="99" t="str">
        <f t="shared" si="12"/>
        <v>Spelt T100/vollkorn</v>
      </c>
      <c r="Q29" s="103">
        <f t="shared" si="16"/>
        <v>0</v>
      </c>
      <c r="R29" s="103">
        <f t="shared" si="17"/>
        <v>0</v>
      </c>
      <c r="S29" s="103">
        <f t="shared" si="18"/>
        <v>0</v>
      </c>
      <c r="T29" s="103">
        <f t="shared" si="19"/>
        <v>0</v>
      </c>
      <c r="U29" s="103">
        <f t="shared" si="20"/>
        <v>0</v>
      </c>
      <c r="V29" s="103">
        <f t="shared" si="21"/>
        <v>0</v>
      </c>
      <c r="W29" s="103">
        <f t="shared" si="22"/>
        <v>0</v>
      </c>
      <c r="X29" s="103">
        <f t="shared" si="23"/>
        <v>0</v>
      </c>
      <c r="Y29" s="103">
        <f t="shared" si="24"/>
        <v>0</v>
      </c>
      <c r="AA29" s="104">
        <f t="shared" si="14"/>
        <v>0</v>
      </c>
    </row>
    <row r="30" spans="2:27">
      <c r="B30" s="99" t="s">
        <v>75</v>
      </c>
      <c r="C30" s="100">
        <v>8</v>
      </c>
      <c r="D30" s="100"/>
      <c r="E30" s="100"/>
      <c r="F30" s="100"/>
      <c r="G30" s="100"/>
      <c r="H30" s="100"/>
      <c r="I30" s="100"/>
      <c r="J30" s="100"/>
      <c r="K30" s="100"/>
      <c r="M30" s="101">
        <f t="shared" si="15"/>
        <v>8</v>
      </c>
      <c r="O30" s="102">
        <v>3.64</v>
      </c>
      <c r="P30" s="99" t="str">
        <f t="shared" si="12"/>
        <v>Spelt T65/630</v>
      </c>
      <c r="Q30" s="103">
        <f t="shared" si="16"/>
        <v>2.912E-2</v>
      </c>
      <c r="R30" s="103">
        <f t="shared" si="17"/>
        <v>0</v>
      </c>
      <c r="S30" s="103">
        <f t="shared" si="18"/>
        <v>0</v>
      </c>
      <c r="T30" s="103">
        <f t="shared" si="19"/>
        <v>0</v>
      </c>
      <c r="U30" s="103">
        <f t="shared" si="20"/>
        <v>0</v>
      </c>
      <c r="V30" s="103">
        <f t="shared" si="21"/>
        <v>0</v>
      </c>
      <c r="W30" s="103">
        <f t="shared" si="22"/>
        <v>0</v>
      </c>
      <c r="X30" s="103">
        <f t="shared" si="23"/>
        <v>0</v>
      </c>
      <c r="Y30" s="103">
        <f t="shared" si="24"/>
        <v>0</v>
      </c>
      <c r="AA30" s="104">
        <f t="shared" si="14"/>
        <v>2.912E-2</v>
      </c>
    </row>
    <row r="31" spans="2:27">
      <c r="B31" s="99" t="s">
        <v>16</v>
      </c>
      <c r="C31" s="100">
        <v>16</v>
      </c>
      <c r="D31" s="100"/>
      <c r="E31" s="100"/>
      <c r="F31" s="100"/>
      <c r="G31" s="100"/>
      <c r="H31" s="100"/>
      <c r="I31" s="100"/>
      <c r="J31" s="100"/>
      <c r="K31" s="100"/>
      <c r="M31" s="101">
        <f t="shared" si="15"/>
        <v>16</v>
      </c>
      <c r="O31" s="102">
        <v>1.05</v>
      </c>
      <c r="P31" s="99" t="str">
        <f t="shared" si="12"/>
        <v>Suiker</v>
      </c>
      <c r="Q31" s="103">
        <f t="shared" si="16"/>
        <v>1.6800000000000002E-2</v>
      </c>
      <c r="R31" s="103">
        <f t="shared" si="17"/>
        <v>0</v>
      </c>
      <c r="S31" s="103">
        <f t="shared" si="18"/>
        <v>0</v>
      </c>
      <c r="T31" s="103">
        <f t="shared" si="19"/>
        <v>0</v>
      </c>
      <c r="U31" s="103">
        <f t="shared" si="20"/>
        <v>0</v>
      </c>
      <c r="V31" s="103">
        <f t="shared" si="21"/>
        <v>0</v>
      </c>
      <c r="W31" s="103">
        <f t="shared" si="22"/>
        <v>0</v>
      </c>
      <c r="X31" s="103">
        <f t="shared" si="23"/>
        <v>0</v>
      </c>
      <c r="Y31" s="103">
        <f t="shared" si="24"/>
        <v>0</v>
      </c>
      <c r="AA31" s="104">
        <f t="shared" si="14"/>
        <v>1.6800000000000002E-2</v>
      </c>
    </row>
    <row r="32" spans="2:27">
      <c r="B32" s="99" t="s">
        <v>94</v>
      </c>
      <c r="C32" s="100"/>
      <c r="D32" s="100"/>
      <c r="E32" s="100"/>
      <c r="F32" s="100"/>
      <c r="G32" s="100"/>
      <c r="H32" s="100"/>
      <c r="I32" s="100"/>
      <c r="J32" s="100"/>
      <c r="K32" s="100"/>
      <c r="M32" s="101">
        <f t="shared" si="15"/>
        <v>0</v>
      </c>
      <c r="O32" s="102">
        <v>1.36</v>
      </c>
      <c r="P32" s="99" t="str">
        <f t="shared" si="12"/>
        <v>Tarwe T150/volkoren</v>
      </c>
      <c r="Q32" s="103">
        <f t="shared" si="16"/>
        <v>0</v>
      </c>
      <c r="R32" s="103">
        <f t="shared" si="17"/>
        <v>0</v>
      </c>
      <c r="S32" s="103">
        <f t="shared" si="18"/>
        <v>0</v>
      </c>
      <c r="T32" s="103">
        <f t="shared" si="19"/>
        <v>0</v>
      </c>
      <c r="U32" s="103">
        <f t="shared" si="20"/>
        <v>0</v>
      </c>
      <c r="V32" s="103">
        <f t="shared" si="21"/>
        <v>0</v>
      </c>
      <c r="W32" s="103">
        <f t="shared" si="22"/>
        <v>0</v>
      </c>
      <c r="X32" s="103">
        <f t="shared" si="23"/>
        <v>0</v>
      </c>
      <c r="Y32" s="103">
        <f t="shared" si="24"/>
        <v>0</v>
      </c>
      <c r="AA32" s="104">
        <f t="shared" si="14"/>
        <v>0</v>
      </c>
    </row>
    <row r="33" spans="2:27">
      <c r="B33" s="99" t="s">
        <v>97</v>
      </c>
      <c r="C33" s="100"/>
      <c r="D33" s="100"/>
      <c r="E33" s="100"/>
      <c r="F33" s="100"/>
      <c r="G33" s="100"/>
      <c r="H33" s="100"/>
      <c r="I33" s="100"/>
      <c r="J33" s="100"/>
      <c r="K33" s="100"/>
      <c r="M33" s="101">
        <f t="shared" si="15"/>
        <v>0</v>
      </c>
      <c r="O33" s="102">
        <v>1.36</v>
      </c>
      <c r="P33" s="99" t="str">
        <f t="shared" si="12"/>
        <v>Tarwe T45/405</v>
      </c>
      <c r="Q33" s="103">
        <f t="shared" si="16"/>
        <v>0</v>
      </c>
      <c r="R33" s="103">
        <f t="shared" si="17"/>
        <v>0</v>
      </c>
      <c r="S33" s="103">
        <f t="shared" si="18"/>
        <v>0</v>
      </c>
      <c r="T33" s="103">
        <f t="shared" si="19"/>
        <v>0</v>
      </c>
      <c r="U33" s="103">
        <f t="shared" si="20"/>
        <v>0</v>
      </c>
      <c r="V33" s="103">
        <f t="shared" si="21"/>
        <v>0</v>
      </c>
      <c r="W33" s="103">
        <f t="shared" si="22"/>
        <v>0</v>
      </c>
      <c r="X33" s="103">
        <f t="shared" si="23"/>
        <v>0</v>
      </c>
      <c r="Y33" s="103">
        <f t="shared" si="24"/>
        <v>0</v>
      </c>
      <c r="AA33" s="104">
        <f t="shared" si="14"/>
        <v>0</v>
      </c>
    </row>
    <row r="34" spans="2:27">
      <c r="B34" s="99" t="s">
        <v>67</v>
      </c>
      <c r="C34" s="100">
        <v>147</v>
      </c>
      <c r="D34" s="100">
        <v>28</v>
      </c>
      <c r="E34" s="100">
        <v>28</v>
      </c>
      <c r="F34" s="100"/>
      <c r="G34" s="100"/>
      <c r="H34" s="100"/>
      <c r="I34" s="100"/>
      <c r="J34" s="100"/>
      <c r="K34" s="100"/>
      <c r="M34" s="101">
        <f t="shared" si="15"/>
        <v>203</v>
      </c>
      <c r="O34" s="102">
        <v>1.36</v>
      </c>
      <c r="P34" s="99" t="str">
        <f t="shared" si="12"/>
        <v>Tarwe T65/550</v>
      </c>
      <c r="Q34" s="103">
        <f t="shared" si="16"/>
        <v>0.19992000000000001</v>
      </c>
      <c r="R34" s="103">
        <f t="shared" si="17"/>
        <v>3.8080000000000003E-2</v>
      </c>
      <c r="S34" s="103">
        <f t="shared" si="18"/>
        <v>3.8080000000000003E-2</v>
      </c>
      <c r="T34" s="103">
        <f t="shared" si="19"/>
        <v>0</v>
      </c>
      <c r="U34" s="103">
        <f t="shared" si="20"/>
        <v>0</v>
      </c>
      <c r="V34" s="103">
        <f t="shared" si="21"/>
        <v>0</v>
      </c>
      <c r="W34" s="103">
        <f t="shared" si="22"/>
        <v>0</v>
      </c>
      <c r="X34" s="103">
        <f t="shared" si="23"/>
        <v>0</v>
      </c>
      <c r="Y34" s="103">
        <f t="shared" si="24"/>
        <v>0</v>
      </c>
      <c r="AA34" s="104">
        <f t="shared" si="14"/>
        <v>0.27607999999999999</v>
      </c>
    </row>
    <row r="35" spans="2:27">
      <c r="B35" s="99" t="s">
        <v>66</v>
      </c>
      <c r="C35" s="100"/>
      <c r="D35" s="100"/>
      <c r="E35" s="100"/>
      <c r="F35" s="100"/>
      <c r="G35" s="100">
        <v>516</v>
      </c>
      <c r="H35" s="100">
        <v>363</v>
      </c>
      <c r="I35" s="100"/>
      <c r="J35" s="100"/>
      <c r="K35" s="100"/>
      <c r="M35" s="101">
        <f t="shared" si="15"/>
        <v>879</v>
      </c>
      <c r="O35" s="102">
        <v>1.36</v>
      </c>
      <c r="P35" s="99" t="str">
        <f t="shared" si="12"/>
        <v>Tarwe T80/1050</v>
      </c>
      <c r="Q35" s="103">
        <f t="shared" si="16"/>
        <v>0</v>
      </c>
      <c r="R35" s="103">
        <f t="shared" si="17"/>
        <v>0</v>
      </c>
      <c r="S35" s="103">
        <f t="shared" si="18"/>
        <v>0</v>
      </c>
      <c r="T35" s="103">
        <f t="shared" si="19"/>
        <v>0</v>
      </c>
      <c r="U35" s="103">
        <f t="shared" si="20"/>
        <v>0.70176000000000005</v>
      </c>
      <c r="V35" s="103">
        <f t="shared" si="21"/>
        <v>0.49368000000000001</v>
      </c>
      <c r="W35" s="103">
        <f t="shared" si="22"/>
        <v>0</v>
      </c>
      <c r="X35" s="103">
        <f t="shared" si="23"/>
        <v>0</v>
      </c>
      <c r="Y35" s="103">
        <f t="shared" si="24"/>
        <v>0</v>
      </c>
      <c r="AA35" s="104">
        <f t="shared" si="14"/>
        <v>1.1954400000000001</v>
      </c>
    </row>
    <row r="36" spans="2:27">
      <c r="B36" s="99" t="s">
        <v>92</v>
      </c>
      <c r="C36" s="100"/>
      <c r="D36" s="100">
        <v>170</v>
      </c>
      <c r="E36" s="100">
        <v>170</v>
      </c>
      <c r="F36" s="100"/>
      <c r="G36" s="100"/>
      <c r="H36" s="100"/>
      <c r="I36" s="100">
        <v>196</v>
      </c>
      <c r="J36" s="100">
        <v>196</v>
      </c>
      <c r="K36" s="100"/>
      <c r="M36" s="101">
        <f t="shared" si="15"/>
        <v>732</v>
      </c>
      <c r="O36" s="103">
        <v>1.36</v>
      </c>
      <c r="P36" s="99" t="str">
        <f t="shared" si="12"/>
        <v>Tarwe Tipo 0</v>
      </c>
      <c r="Q36" s="103">
        <f t="shared" si="16"/>
        <v>0</v>
      </c>
      <c r="R36" s="103">
        <f t="shared" si="17"/>
        <v>0.23120000000000002</v>
      </c>
      <c r="S36" s="103">
        <f t="shared" si="18"/>
        <v>0.23120000000000002</v>
      </c>
      <c r="T36" s="103">
        <f t="shared" si="19"/>
        <v>0</v>
      </c>
      <c r="U36" s="103">
        <f t="shared" si="20"/>
        <v>0</v>
      </c>
      <c r="V36" s="103">
        <f t="shared" si="21"/>
        <v>0</v>
      </c>
      <c r="W36" s="103">
        <f t="shared" si="22"/>
        <v>0.26656000000000002</v>
      </c>
      <c r="X36" s="103">
        <f t="shared" si="23"/>
        <v>0.26656000000000002</v>
      </c>
      <c r="Y36" s="103">
        <f t="shared" si="24"/>
        <v>0</v>
      </c>
      <c r="AA36" s="104">
        <f t="shared" si="14"/>
        <v>0.99552000000000007</v>
      </c>
    </row>
    <row r="37" spans="2:27">
      <c r="B37" s="99" t="s">
        <v>93</v>
      </c>
      <c r="C37" s="100"/>
      <c r="D37" s="100"/>
      <c r="E37" s="100"/>
      <c r="F37" s="100"/>
      <c r="G37" s="100"/>
      <c r="H37" s="100"/>
      <c r="I37" s="100"/>
      <c r="J37" s="100"/>
      <c r="K37" s="100"/>
      <c r="M37" s="101">
        <f t="shared" si="15"/>
        <v>0</v>
      </c>
      <c r="O37" s="102">
        <v>1.36</v>
      </c>
      <c r="P37" s="99" t="str">
        <f t="shared" si="12"/>
        <v>Tarwe Tipo 00</v>
      </c>
      <c r="Q37" s="103">
        <f t="shared" si="16"/>
        <v>0</v>
      </c>
      <c r="R37" s="103">
        <f t="shared" si="17"/>
        <v>0</v>
      </c>
      <c r="S37" s="103">
        <f t="shared" si="18"/>
        <v>0</v>
      </c>
      <c r="T37" s="103">
        <f t="shared" si="19"/>
        <v>0</v>
      </c>
      <c r="U37" s="103">
        <f t="shared" si="20"/>
        <v>0</v>
      </c>
      <c r="V37" s="103">
        <f t="shared" si="21"/>
        <v>0</v>
      </c>
      <c r="W37" s="103">
        <f t="shared" si="22"/>
        <v>0</v>
      </c>
      <c r="X37" s="103">
        <f t="shared" si="23"/>
        <v>0</v>
      </c>
      <c r="Y37" s="103">
        <f t="shared" si="24"/>
        <v>0</v>
      </c>
      <c r="AA37" s="104">
        <f t="shared" si="14"/>
        <v>0</v>
      </c>
    </row>
    <row r="38" spans="2:27">
      <c r="B38" s="99" t="s">
        <v>52</v>
      </c>
      <c r="C38" s="100"/>
      <c r="D38" s="100"/>
      <c r="E38" s="100"/>
      <c r="F38" s="100"/>
      <c r="G38" s="100"/>
      <c r="H38" s="100"/>
      <c r="I38" s="100"/>
      <c r="J38" s="100"/>
      <c r="K38" s="100"/>
      <c r="M38" s="101">
        <f t="shared" si="15"/>
        <v>0</v>
      </c>
      <c r="O38" s="102">
        <v>0.1</v>
      </c>
      <c r="P38" s="99" t="str">
        <f t="shared" si="12"/>
        <v>Tijd/extra</v>
      </c>
      <c r="Q38" s="103">
        <f t="shared" si="16"/>
        <v>0</v>
      </c>
      <c r="R38" s="103">
        <f t="shared" si="17"/>
        <v>0</v>
      </c>
      <c r="S38" s="103">
        <f t="shared" si="18"/>
        <v>0</v>
      </c>
      <c r="T38" s="103">
        <f t="shared" si="19"/>
        <v>0</v>
      </c>
      <c r="U38" s="103">
        <f t="shared" si="20"/>
        <v>0</v>
      </c>
      <c r="V38" s="103">
        <f t="shared" si="21"/>
        <v>0</v>
      </c>
      <c r="W38" s="103">
        <f t="shared" si="22"/>
        <v>0</v>
      </c>
      <c r="X38" s="103">
        <f t="shared" si="23"/>
        <v>0</v>
      </c>
      <c r="Y38" s="103">
        <f t="shared" si="24"/>
        <v>0</v>
      </c>
      <c r="AA38" s="104">
        <f t="shared" si="14"/>
        <v>0</v>
      </c>
    </row>
    <row r="39" spans="2:27">
      <c r="B39" s="99" t="s">
        <v>95</v>
      </c>
      <c r="C39" s="100">
        <v>1</v>
      </c>
      <c r="D39" s="100"/>
      <c r="E39" s="100"/>
      <c r="F39" s="100"/>
      <c r="G39" s="100"/>
      <c r="H39" s="100"/>
      <c r="I39" s="100"/>
      <c r="J39" s="100"/>
      <c r="K39" s="100"/>
      <c r="M39" s="101">
        <f t="shared" si="15"/>
        <v>1</v>
      </c>
      <c r="O39" s="102">
        <v>73</v>
      </c>
      <c r="P39" s="99" t="str">
        <f t="shared" si="12"/>
        <v>Vanillepasta</v>
      </c>
      <c r="Q39" s="103">
        <f t="shared" si="16"/>
        <v>7.2999999999999995E-2</v>
      </c>
      <c r="R39" s="103">
        <f t="shared" si="17"/>
        <v>0</v>
      </c>
      <c r="S39" s="103">
        <f t="shared" si="18"/>
        <v>0</v>
      </c>
      <c r="T39" s="103">
        <f t="shared" si="19"/>
        <v>0</v>
      </c>
      <c r="U39" s="103">
        <f t="shared" si="20"/>
        <v>0</v>
      </c>
      <c r="V39" s="103">
        <f t="shared" si="21"/>
        <v>0</v>
      </c>
      <c r="W39" s="103">
        <f t="shared" si="22"/>
        <v>0</v>
      </c>
      <c r="X39" s="103">
        <f t="shared" si="23"/>
        <v>0</v>
      </c>
      <c r="Y39" s="103">
        <f t="shared" si="24"/>
        <v>0</v>
      </c>
      <c r="AA39" s="104">
        <f t="shared" si="14"/>
        <v>7.2999999999999995E-2</v>
      </c>
    </row>
    <row r="40" spans="2:27">
      <c r="B40" s="99" t="s">
        <v>19</v>
      </c>
      <c r="C40" s="100"/>
      <c r="D40" s="100"/>
      <c r="E40" s="100"/>
      <c r="F40" s="100"/>
      <c r="G40" s="100"/>
      <c r="H40" s="100"/>
      <c r="I40" s="100"/>
      <c r="J40" s="100"/>
      <c r="K40" s="100"/>
      <c r="M40" s="101">
        <f t="shared" si="15"/>
        <v>0</v>
      </c>
      <c r="O40" s="102">
        <v>17.95</v>
      </c>
      <c r="P40" s="99" t="str">
        <f t="shared" si="12"/>
        <v>Walnoten</v>
      </c>
      <c r="Q40" s="103">
        <f t="shared" si="16"/>
        <v>0</v>
      </c>
      <c r="R40" s="103">
        <f t="shared" si="17"/>
        <v>0</v>
      </c>
      <c r="S40" s="103">
        <f t="shared" si="18"/>
        <v>0</v>
      </c>
      <c r="T40" s="103">
        <f t="shared" si="19"/>
        <v>0</v>
      </c>
      <c r="U40" s="103">
        <f t="shared" si="20"/>
        <v>0</v>
      </c>
      <c r="V40" s="103">
        <f t="shared" si="21"/>
        <v>0</v>
      </c>
      <c r="W40" s="103">
        <f t="shared" si="22"/>
        <v>0</v>
      </c>
      <c r="X40" s="103">
        <f t="shared" si="23"/>
        <v>0</v>
      </c>
      <c r="Y40" s="103">
        <f t="shared" si="24"/>
        <v>0</v>
      </c>
      <c r="AA40" s="104">
        <f t="shared" si="14"/>
        <v>0</v>
      </c>
    </row>
    <row r="41" spans="2:27">
      <c r="B41" s="99" t="s">
        <v>35</v>
      </c>
      <c r="C41" s="100">
        <v>3</v>
      </c>
      <c r="D41" s="100">
        <v>142</v>
      </c>
      <c r="E41" s="100">
        <v>142</v>
      </c>
      <c r="F41" s="100"/>
      <c r="G41" s="100">
        <v>372</v>
      </c>
      <c r="H41" s="100">
        <v>311</v>
      </c>
      <c r="I41" s="100">
        <v>142</v>
      </c>
      <c r="J41" s="100">
        <v>142</v>
      </c>
      <c r="K41" s="100"/>
      <c r="M41" s="101">
        <f t="shared" si="15"/>
        <v>1254</v>
      </c>
      <c r="O41" s="102">
        <v>0.1</v>
      </c>
      <c r="P41" s="99" t="str">
        <f t="shared" si="12"/>
        <v>Water</v>
      </c>
      <c r="Q41" s="103">
        <f t="shared" si="16"/>
        <v>3.0000000000000003E-4</v>
      </c>
      <c r="R41" s="103">
        <f t="shared" si="17"/>
        <v>1.4200000000000001E-2</v>
      </c>
      <c r="S41" s="103">
        <f t="shared" si="18"/>
        <v>1.4200000000000001E-2</v>
      </c>
      <c r="T41" s="103">
        <f t="shared" si="19"/>
        <v>0</v>
      </c>
      <c r="U41" s="103">
        <f t="shared" si="20"/>
        <v>3.7200000000000004E-2</v>
      </c>
      <c r="V41" s="103">
        <f t="shared" si="21"/>
        <v>3.1100000000000003E-2</v>
      </c>
      <c r="W41" s="103">
        <f t="shared" si="22"/>
        <v>1.4200000000000001E-2</v>
      </c>
      <c r="X41" s="103">
        <f t="shared" si="23"/>
        <v>1.4200000000000001E-2</v>
      </c>
      <c r="Y41" s="103">
        <f t="shared" si="24"/>
        <v>0</v>
      </c>
      <c r="AA41" s="104">
        <f t="shared" si="14"/>
        <v>0.12540000000000001</v>
      </c>
    </row>
    <row r="42" spans="2:27">
      <c r="B42" s="99" t="s">
        <v>27</v>
      </c>
      <c r="C42" s="100"/>
      <c r="D42" s="100"/>
      <c r="E42" s="100"/>
      <c r="F42" s="100"/>
      <c r="G42" s="100"/>
      <c r="H42" s="100"/>
      <c r="I42" s="100"/>
      <c r="J42" s="100"/>
      <c r="K42" s="100"/>
      <c r="M42" s="101">
        <f t="shared" si="15"/>
        <v>0</v>
      </c>
      <c r="O42" s="102">
        <v>7.96</v>
      </c>
      <c r="P42" s="99" t="str">
        <f t="shared" si="12"/>
        <v>Weizenpuder</v>
      </c>
      <c r="Q42" s="103">
        <f t="shared" si="16"/>
        <v>0</v>
      </c>
      <c r="R42" s="103">
        <f t="shared" si="17"/>
        <v>0</v>
      </c>
      <c r="S42" s="103">
        <f t="shared" si="18"/>
        <v>0</v>
      </c>
      <c r="T42" s="103">
        <f t="shared" si="19"/>
        <v>0</v>
      </c>
      <c r="U42" s="103">
        <f t="shared" si="20"/>
        <v>0</v>
      </c>
      <c r="V42" s="103">
        <f t="shared" si="21"/>
        <v>0</v>
      </c>
      <c r="W42" s="103">
        <f t="shared" si="22"/>
        <v>0</v>
      </c>
      <c r="X42" s="103">
        <f t="shared" si="23"/>
        <v>0</v>
      </c>
      <c r="Y42" s="103">
        <f t="shared" si="24"/>
        <v>0</v>
      </c>
      <c r="AA42" s="104">
        <f t="shared" si="14"/>
        <v>0</v>
      </c>
    </row>
    <row r="43" spans="2:27">
      <c r="B43" s="99" t="s">
        <v>142</v>
      </c>
      <c r="C43" s="100"/>
      <c r="D43" s="100"/>
      <c r="E43" s="100"/>
      <c r="F43" s="100"/>
      <c r="G43" s="100"/>
      <c r="H43" s="100">
        <v>77</v>
      </c>
      <c r="I43" s="100"/>
      <c r="J43" s="100"/>
      <c r="K43" s="100"/>
      <c r="M43" s="101">
        <f t="shared" si="15"/>
        <v>77</v>
      </c>
      <c r="O43" s="102">
        <v>12.53</v>
      </c>
      <c r="P43" s="99" t="str">
        <f t="shared" si="12"/>
        <v>Zadenmelange</v>
      </c>
      <c r="Q43" s="103">
        <f t="shared" si="16"/>
        <v>0</v>
      </c>
      <c r="R43" s="103">
        <f t="shared" si="17"/>
        <v>0</v>
      </c>
      <c r="S43" s="103">
        <f t="shared" si="18"/>
        <v>0</v>
      </c>
      <c r="T43" s="103">
        <f t="shared" si="19"/>
        <v>0</v>
      </c>
      <c r="U43" s="103">
        <f t="shared" si="20"/>
        <v>0</v>
      </c>
      <c r="V43" s="103">
        <f t="shared" si="21"/>
        <v>0.96480999999999995</v>
      </c>
      <c r="W43" s="103">
        <f t="shared" si="22"/>
        <v>0</v>
      </c>
      <c r="X43" s="103">
        <f t="shared" si="23"/>
        <v>0</v>
      </c>
      <c r="Y43" s="103">
        <f t="shared" si="24"/>
        <v>0</v>
      </c>
      <c r="AA43" s="104">
        <f t="shared" si="14"/>
        <v>0.96480999999999995</v>
      </c>
    </row>
    <row r="44" spans="2:27">
      <c r="B44" s="99" t="s">
        <v>100</v>
      </c>
      <c r="C44" s="100">
        <v>1</v>
      </c>
      <c r="D44" s="100"/>
      <c r="E44" s="100"/>
      <c r="F44" s="100"/>
      <c r="G44" s="100"/>
      <c r="H44" s="100"/>
      <c r="I44" s="100"/>
      <c r="J44" s="100"/>
      <c r="K44" s="100"/>
      <c r="M44" s="101">
        <f t="shared" si="15"/>
        <v>1</v>
      </c>
      <c r="O44" s="102"/>
      <c r="P44" s="99" t="str">
        <f t="shared" si="12"/>
        <v>Zitronepasta</v>
      </c>
      <c r="Q44" s="103">
        <f t="shared" si="16"/>
        <v>0</v>
      </c>
      <c r="R44" s="103">
        <f t="shared" si="17"/>
        <v>0</v>
      </c>
      <c r="S44" s="103">
        <f t="shared" si="18"/>
        <v>0</v>
      </c>
      <c r="T44" s="103">
        <f t="shared" si="19"/>
        <v>0</v>
      </c>
      <c r="U44" s="103">
        <f t="shared" si="20"/>
        <v>0</v>
      </c>
      <c r="V44" s="103">
        <f t="shared" si="21"/>
        <v>0</v>
      </c>
      <c r="W44" s="103">
        <f t="shared" si="22"/>
        <v>0</v>
      </c>
      <c r="X44" s="103">
        <f t="shared" si="23"/>
        <v>0</v>
      </c>
      <c r="Y44" s="103">
        <f t="shared" si="24"/>
        <v>0</v>
      </c>
      <c r="AA44" s="104">
        <f t="shared" si="14"/>
        <v>0</v>
      </c>
    </row>
    <row r="45" spans="2:27">
      <c r="B45" s="99" t="s">
        <v>13</v>
      </c>
      <c r="C45" s="100">
        <v>3</v>
      </c>
      <c r="D45" s="100">
        <v>4</v>
      </c>
      <c r="E45" s="100">
        <v>4</v>
      </c>
      <c r="F45" s="100"/>
      <c r="G45" s="100">
        <v>9</v>
      </c>
      <c r="H45" s="100">
        <v>6</v>
      </c>
      <c r="I45" s="100">
        <v>8</v>
      </c>
      <c r="J45" s="100">
        <v>8</v>
      </c>
      <c r="K45" s="100"/>
      <c r="M45" s="101">
        <f t="shared" si="15"/>
        <v>42</v>
      </c>
      <c r="O45" s="102">
        <v>2.02</v>
      </c>
      <c r="P45" s="99" t="str">
        <f t="shared" si="12"/>
        <v>Zout</v>
      </c>
      <c r="Q45" s="103">
        <f t="shared" si="16"/>
        <v>6.0600000000000003E-3</v>
      </c>
      <c r="R45" s="103">
        <f t="shared" si="17"/>
        <v>8.0800000000000004E-3</v>
      </c>
      <c r="S45" s="103">
        <f t="shared" si="18"/>
        <v>8.0800000000000004E-3</v>
      </c>
      <c r="T45" s="103">
        <f t="shared" si="19"/>
        <v>0</v>
      </c>
      <c r="U45" s="103">
        <f t="shared" si="20"/>
        <v>1.8180000000000002E-2</v>
      </c>
      <c r="V45" s="103">
        <f t="shared" si="21"/>
        <v>1.2120000000000001E-2</v>
      </c>
      <c r="W45" s="103">
        <f t="shared" si="22"/>
        <v>1.6160000000000001E-2</v>
      </c>
      <c r="X45" s="103">
        <f t="shared" si="23"/>
        <v>1.6160000000000001E-2</v>
      </c>
      <c r="Y45" s="103">
        <f t="shared" si="24"/>
        <v>0</v>
      </c>
      <c r="AA45" s="104">
        <f t="shared" si="14"/>
        <v>8.4839999999999999E-2</v>
      </c>
    </row>
    <row r="46" spans="2:27">
      <c r="B46" s="99" t="s">
        <v>145</v>
      </c>
      <c r="C46" s="100"/>
      <c r="D46" s="100"/>
      <c r="E46" s="100"/>
      <c r="F46" s="100"/>
      <c r="G46" s="100"/>
      <c r="H46" s="100"/>
      <c r="I46" s="100"/>
      <c r="J46" s="100">
        <v>70</v>
      </c>
      <c r="K46" s="100"/>
      <c r="M46" s="101">
        <f t="shared" si="15"/>
        <v>70</v>
      </c>
      <c r="O46" s="102">
        <v>13.56</v>
      </c>
      <c r="P46" s="99" t="str">
        <f t="shared" si="12"/>
        <v>Bio mini tomaten</v>
      </c>
      <c r="Q46" s="103">
        <f t="shared" si="16"/>
        <v>0</v>
      </c>
      <c r="R46" s="103">
        <f t="shared" si="17"/>
        <v>0</v>
      </c>
      <c r="S46" s="103">
        <f t="shared" si="18"/>
        <v>0</v>
      </c>
      <c r="T46" s="103">
        <f t="shared" si="19"/>
        <v>0</v>
      </c>
      <c r="U46" s="103">
        <f t="shared" si="20"/>
        <v>0</v>
      </c>
      <c r="V46" s="103">
        <f t="shared" si="21"/>
        <v>0</v>
      </c>
      <c r="W46" s="103">
        <f t="shared" si="22"/>
        <v>0</v>
      </c>
      <c r="X46" s="103">
        <f t="shared" si="23"/>
        <v>0.94920000000000004</v>
      </c>
      <c r="Y46" s="103">
        <f t="shared" si="24"/>
        <v>0</v>
      </c>
      <c r="AA46" s="104">
        <f t="shared" si="14"/>
        <v>0.94920000000000004</v>
      </c>
    </row>
    <row r="47" spans="2:27">
      <c r="B47" s="86"/>
    </row>
    <row r="48" spans="2:27">
      <c r="B48" s="86"/>
    </row>
    <row r="49" spans="2:41">
      <c r="B49" s="86"/>
    </row>
    <row r="50" spans="2:41">
      <c r="B50" s="86"/>
    </row>
    <row r="51" spans="2:41">
      <c r="B51" s="86"/>
    </row>
    <row r="52" spans="2:41">
      <c r="B52" s="86"/>
    </row>
    <row r="53" spans="2:41">
      <c r="B53" s="86"/>
    </row>
    <row r="54" spans="2:41">
      <c r="B54" s="86"/>
    </row>
    <row r="55" spans="2:41">
      <c r="B55" s="86"/>
      <c r="AM55" s="89"/>
    </row>
    <row r="56" spans="2:41">
      <c r="B56" s="86"/>
      <c r="AL56" s="89"/>
      <c r="AM56" s="89"/>
    </row>
    <row r="57" spans="2:41">
      <c r="B57" s="86"/>
      <c r="AL57" s="89"/>
      <c r="AM57" s="89"/>
      <c r="AO57" s="94"/>
    </row>
    <row r="58" spans="2:41">
      <c r="B58" s="86"/>
      <c r="AM58" s="89"/>
    </row>
    <row r="59" spans="2:41">
      <c r="B59" s="86"/>
    </row>
    <row r="60" spans="2:41">
      <c r="B60" s="86"/>
    </row>
    <row r="61" spans="2:41">
      <c r="B61" s="86"/>
    </row>
    <row r="62" spans="2:41">
      <c r="B62" s="86"/>
    </row>
    <row r="63" spans="2:41">
      <c r="B63" s="86"/>
    </row>
    <row r="64" spans="2:41">
      <c r="B64" s="86"/>
    </row>
    <row r="65" spans="2:2">
      <c r="B65" s="86"/>
    </row>
    <row r="66" spans="2:2">
      <c r="B66" s="86"/>
    </row>
    <row r="67" spans="2:2">
      <c r="B67" s="86"/>
    </row>
    <row r="68" spans="2:2">
      <c r="B68" s="86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16F4-EE37-2D41-814F-40ED3EBC72A7}">
  <sheetPr codeName="Sheet3"/>
  <dimension ref="B3:F22"/>
  <sheetViews>
    <sheetView showGridLines="0" zoomScale="130" zoomScaleNormal="130" workbookViewId="0">
      <selection activeCell="G16" sqref="G16"/>
    </sheetView>
  </sheetViews>
  <sheetFormatPr baseColWidth="10" defaultRowHeight="16"/>
  <cols>
    <col min="2" max="2" width="14" style="23" bestFit="1" customWidth="1"/>
    <col min="3" max="3" width="24" customWidth="1"/>
    <col min="4" max="4" width="13.83203125" bestFit="1" customWidth="1"/>
    <col min="5" max="5" width="16.33203125" bestFit="1" customWidth="1"/>
  </cols>
  <sheetData>
    <row r="3" spans="2:5">
      <c r="E3" s="35" t="s">
        <v>51</v>
      </c>
    </row>
    <row r="4" spans="2:5">
      <c r="E4" s="36">
        <v>46006</v>
      </c>
    </row>
    <row r="8" spans="2:5">
      <c r="D8" s="28" t="s">
        <v>45</v>
      </c>
      <c r="E8" s="28" t="s">
        <v>46</v>
      </c>
    </row>
    <row r="9" spans="2:5">
      <c r="B9" s="25" t="s">
        <v>14</v>
      </c>
      <c r="C9" s="27" t="s">
        <v>40</v>
      </c>
      <c r="D9" s="29">
        <v>6</v>
      </c>
      <c r="E9" s="29">
        <v>0.7</v>
      </c>
    </row>
    <row r="10" spans="2:5">
      <c r="B10" s="216" t="s">
        <v>48</v>
      </c>
      <c r="C10" s="27" t="s">
        <v>41</v>
      </c>
      <c r="D10" s="29">
        <v>5</v>
      </c>
      <c r="E10" s="29">
        <v>0.6</v>
      </c>
    </row>
    <row r="11" spans="2:5" ht="34">
      <c r="B11" s="217"/>
      <c r="C11" s="34" t="s">
        <v>47</v>
      </c>
      <c r="D11" s="29">
        <v>6</v>
      </c>
      <c r="E11" s="29">
        <v>0.7</v>
      </c>
    </row>
    <row r="12" spans="2:5">
      <c r="B12" s="218"/>
      <c r="C12" s="27" t="s">
        <v>25</v>
      </c>
      <c r="D12" s="29"/>
      <c r="E12" s="29">
        <v>0.8</v>
      </c>
    </row>
    <row r="13" spans="2:5">
      <c r="B13" s="33"/>
      <c r="D13" s="31"/>
      <c r="E13" s="31"/>
    </row>
    <row r="14" spans="2:5">
      <c r="D14" s="30" t="s">
        <v>49</v>
      </c>
      <c r="E14" s="31"/>
    </row>
    <row r="15" spans="2:5">
      <c r="B15" s="215" t="s">
        <v>43</v>
      </c>
      <c r="C15" s="27" t="s">
        <v>26</v>
      </c>
      <c r="D15" s="29">
        <v>20</v>
      </c>
      <c r="E15" s="29"/>
    </row>
    <row r="16" spans="2:5">
      <c r="B16" s="215"/>
      <c r="C16" s="27" t="s">
        <v>42</v>
      </c>
      <c r="D16" s="29">
        <v>24</v>
      </c>
      <c r="E16" s="29"/>
    </row>
    <row r="17" spans="2:6">
      <c r="B17" s="32"/>
      <c r="D17" s="31"/>
      <c r="E17" s="31"/>
    </row>
    <row r="18" spans="2:6">
      <c r="D18" s="30" t="s">
        <v>50</v>
      </c>
      <c r="E18" s="31"/>
    </row>
    <row r="19" spans="2:6">
      <c r="B19" s="25" t="s">
        <v>44</v>
      </c>
      <c r="C19" s="27" t="s">
        <v>23</v>
      </c>
      <c r="D19" s="29">
        <v>8</v>
      </c>
      <c r="E19" s="29"/>
    </row>
    <row r="22" spans="2:6">
      <c r="F22" s="24"/>
    </row>
  </sheetData>
  <mergeCells count="2">
    <mergeCell ref="B15:B16"/>
    <mergeCell ref="B10:B12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085C-4084-6743-876B-1CB3A333008D}">
  <dimension ref="B2:AO68"/>
  <sheetViews>
    <sheetView showGridLines="0" zoomScale="90" zoomScaleNormal="90" workbookViewId="0">
      <pane xSplit="2" ySplit="4" topLeftCell="C7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RowHeight="15"/>
  <cols>
    <col min="1" max="1" width="2.1640625" style="86" customWidth="1"/>
    <col min="2" max="2" width="22.83203125" style="85" bestFit="1" customWidth="1"/>
    <col min="3" max="3" width="10.1640625" style="86" bestFit="1" customWidth="1"/>
    <col min="4" max="4" width="11.83203125" style="86" bestFit="1" customWidth="1"/>
    <col min="5" max="5" width="14.5" style="86" bestFit="1" customWidth="1"/>
    <col min="6" max="6" width="11.83203125" style="86" bestFit="1" customWidth="1"/>
    <col min="7" max="7" width="11.1640625" style="86" bestFit="1" customWidth="1"/>
    <col min="8" max="8" width="9.6640625" style="86" bestFit="1" customWidth="1"/>
    <col min="9" max="9" width="15" style="86" bestFit="1" customWidth="1"/>
    <col min="10" max="10" width="17.33203125" style="86" bestFit="1" customWidth="1"/>
    <col min="11" max="11" width="5.33203125" style="86" bestFit="1" customWidth="1"/>
    <col min="12" max="12" width="1.5" style="86" customWidth="1"/>
    <col min="13" max="13" width="6.6640625" style="86" bestFit="1" customWidth="1"/>
    <col min="14" max="14" width="7.33203125" style="86" bestFit="1" customWidth="1"/>
    <col min="15" max="15" width="8" style="86" bestFit="1" customWidth="1"/>
    <col min="16" max="16" width="22.83203125" style="86" bestFit="1" customWidth="1"/>
    <col min="17" max="17" width="10.1640625" style="86" bestFit="1" customWidth="1"/>
    <col min="18" max="18" width="11.83203125" style="86" bestFit="1" customWidth="1"/>
    <col min="19" max="19" width="14.5" style="86" bestFit="1" customWidth="1"/>
    <col min="20" max="20" width="11.83203125" style="86" bestFit="1" customWidth="1"/>
    <col min="21" max="21" width="11.1640625" style="86" bestFit="1" customWidth="1"/>
    <col min="22" max="22" width="9.6640625" style="86" bestFit="1" customWidth="1"/>
    <col min="23" max="23" width="15" style="86" bestFit="1" customWidth="1"/>
    <col min="24" max="24" width="17.33203125" style="86" bestFit="1" customWidth="1"/>
    <col min="25" max="25" width="6.1640625" style="86" bestFit="1" customWidth="1"/>
    <col min="26" max="26" width="1.33203125" style="86" customWidth="1"/>
    <col min="27" max="27" width="7" style="86" bestFit="1" customWidth="1"/>
    <col min="28" max="28" width="1.33203125" style="86" customWidth="1"/>
    <col min="29" max="29" width="12" style="86" bestFit="1" customWidth="1"/>
    <col min="30" max="30" width="1.33203125" style="86" customWidth="1"/>
    <col min="31" max="31" width="9" style="86" bestFit="1" customWidth="1"/>
    <col min="32" max="32" width="1.33203125" style="86" customWidth="1"/>
    <col min="33" max="33" width="7.1640625" style="86" customWidth="1"/>
    <col min="34" max="34" width="1.33203125" style="86" hidden="1" customWidth="1"/>
    <col min="35" max="35" width="14" style="86" bestFit="1" customWidth="1"/>
    <col min="36" max="36" width="1.33203125" style="86" customWidth="1"/>
    <col min="37" max="37" width="8.6640625" style="86" bestFit="1" customWidth="1"/>
    <col min="38" max="38" width="8.33203125" style="86" bestFit="1" customWidth="1"/>
    <col min="39" max="39" width="13.6640625" style="86" hidden="1" customWidth="1"/>
    <col min="40" max="40" width="1.33203125" style="86" hidden="1" customWidth="1"/>
    <col min="41" max="41" width="18.6640625" style="86" bestFit="1" customWidth="1"/>
    <col min="42" max="42" width="1.33203125" style="86" customWidth="1"/>
    <col min="43" max="43" width="13.6640625" style="86" bestFit="1" customWidth="1"/>
    <col min="44" max="44" width="1.33203125" style="86" customWidth="1"/>
    <col min="45" max="45" width="13.6640625" style="86" bestFit="1" customWidth="1"/>
    <col min="46" max="46" width="1.33203125" style="86" customWidth="1"/>
    <col min="47" max="47" width="14.33203125" style="86" bestFit="1" customWidth="1"/>
    <col min="48" max="16384" width="10.83203125" style="86"/>
  </cols>
  <sheetData>
    <row r="2" spans="2:38">
      <c r="B2" s="87" t="s">
        <v>31</v>
      </c>
      <c r="C2" s="88">
        <v>250</v>
      </c>
      <c r="D2" s="88">
        <f>VLOOKUP('Kostprijs LUMBONO'!D3,Overview!$B:$D,3,0)</f>
        <v>1900</v>
      </c>
      <c r="E2" s="88">
        <f>VLOOKUP('Kostprijs LUMBONO'!E3,Overview!$B:$D,3,0)</f>
        <v>80</v>
      </c>
      <c r="F2" s="88">
        <v>750</v>
      </c>
      <c r="G2" s="88">
        <v>750</v>
      </c>
      <c r="H2" s="88">
        <v>500</v>
      </c>
      <c r="I2" s="88" t="e">
        <f>VLOOKUP('Kostprijs LUMBONO'!I3,Overview!$B:$D,3,0)</f>
        <v>#N/A</v>
      </c>
      <c r="J2" s="88" t="e">
        <f>VLOOKUP('Kostprijs LUMBONO'!J3,Overview!$B:$D,3,0)</f>
        <v>#N/A</v>
      </c>
      <c r="K2" s="88" t="e">
        <f>VLOOKUP('Kostprijs LUMBONO'!K3,Overview!$B:$D,3,0)</f>
        <v>#N/A</v>
      </c>
      <c r="P2" s="86" t="s">
        <v>65</v>
      </c>
      <c r="Q2" s="89">
        <f t="shared" ref="Q2:Y2" si="0">Q3/C2*1000</f>
        <v>0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 t="e">
        <f t="shared" si="0"/>
        <v>#N/A</v>
      </c>
      <c r="X2" s="89" t="e">
        <f t="shared" si="0"/>
        <v>#N/A</v>
      </c>
      <c r="Y2" s="89" t="e">
        <f t="shared" si="0"/>
        <v>#N/A</v>
      </c>
    </row>
    <row r="3" spans="2:38">
      <c r="B3" s="90" t="s">
        <v>30</v>
      </c>
      <c r="C3" s="90" t="s">
        <v>128</v>
      </c>
      <c r="D3" s="90" t="s">
        <v>135</v>
      </c>
      <c r="E3" s="90" t="s">
        <v>25</v>
      </c>
      <c r="F3" s="90"/>
      <c r="G3" s="90"/>
      <c r="H3" s="90"/>
      <c r="I3" s="90"/>
      <c r="J3" s="90"/>
      <c r="K3" s="90"/>
      <c r="O3" s="91"/>
      <c r="P3" s="92" t="s">
        <v>34</v>
      </c>
      <c r="Q3" s="93">
        <f t="shared" ref="Q3:Y3" si="1">SUM(Q5:Q51)</f>
        <v>0</v>
      </c>
      <c r="R3" s="93">
        <f t="shared" si="1"/>
        <v>0</v>
      </c>
      <c r="S3" s="93">
        <f t="shared" si="1"/>
        <v>0</v>
      </c>
      <c r="T3" s="93">
        <f t="shared" si="1"/>
        <v>0</v>
      </c>
      <c r="U3" s="93">
        <f t="shared" si="1"/>
        <v>0</v>
      </c>
      <c r="V3" s="93">
        <f t="shared" si="1"/>
        <v>0</v>
      </c>
      <c r="W3" s="93">
        <f t="shared" si="1"/>
        <v>0</v>
      </c>
      <c r="X3" s="93">
        <f t="shared" si="1"/>
        <v>0</v>
      </c>
      <c r="Y3" s="93">
        <f t="shared" si="1"/>
        <v>0</v>
      </c>
      <c r="AG3" s="94"/>
    </row>
    <row r="4" spans="2:38">
      <c r="B4" s="95" t="s">
        <v>32</v>
      </c>
      <c r="C4" s="96">
        <f>SUM(C5:C51)</f>
        <v>0</v>
      </c>
      <c r="D4" s="96">
        <f t="shared" ref="D4:K4" si="2">SUM(D5:D51)</f>
        <v>0</v>
      </c>
      <c r="E4" s="96">
        <f t="shared" si="2"/>
        <v>0</v>
      </c>
      <c r="F4" s="96">
        <f t="shared" si="2"/>
        <v>0</v>
      </c>
      <c r="G4" s="96">
        <f t="shared" si="2"/>
        <v>0</v>
      </c>
      <c r="H4" s="96">
        <f t="shared" si="2"/>
        <v>0</v>
      </c>
      <c r="I4" s="96">
        <f t="shared" si="2"/>
        <v>0</v>
      </c>
      <c r="J4" s="96">
        <f t="shared" si="2"/>
        <v>0</v>
      </c>
      <c r="K4" s="96">
        <f t="shared" si="2"/>
        <v>0</v>
      </c>
      <c r="M4" s="97" t="s">
        <v>33</v>
      </c>
      <c r="O4" s="98" t="s">
        <v>38</v>
      </c>
      <c r="P4" s="98"/>
      <c r="Q4" s="98" t="str">
        <f t="shared" ref="Q4:Y4" si="3">C3</f>
        <v>Pizzaballen (5x 252gr)</v>
      </c>
      <c r="R4" s="98" t="str">
        <f t="shared" si="3"/>
        <v>Focaccia Fulvio (2x 30x40)</v>
      </c>
      <c r="S4" s="98" t="str">
        <f t="shared" si="3"/>
        <v>Brezen</v>
      </c>
      <c r="T4" s="98">
        <f t="shared" si="3"/>
        <v>0</v>
      </c>
      <c r="U4" s="98">
        <f t="shared" si="3"/>
        <v>0</v>
      </c>
      <c r="V4" s="98">
        <f t="shared" si="3"/>
        <v>0</v>
      </c>
      <c r="W4" s="98">
        <f t="shared" si="3"/>
        <v>0</v>
      </c>
      <c r="X4" s="98">
        <f t="shared" si="3"/>
        <v>0</v>
      </c>
      <c r="Y4" s="98">
        <f t="shared" si="3"/>
        <v>0</v>
      </c>
      <c r="AA4" s="97" t="s">
        <v>33</v>
      </c>
    </row>
    <row r="5" spans="2:38">
      <c r="B5" s="99" t="s">
        <v>114</v>
      </c>
      <c r="C5" s="100"/>
      <c r="D5" s="100"/>
      <c r="E5" s="100"/>
      <c r="F5" s="100"/>
      <c r="G5" s="100"/>
      <c r="H5" s="100"/>
      <c r="I5" s="100"/>
      <c r="J5" s="100"/>
      <c r="K5" s="100"/>
      <c r="M5" s="101">
        <f>SUM(C5:K5)</f>
        <v>0</v>
      </c>
      <c r="O5" s="102">
        <v>98</v>
      </c>
      <c r="P5" s="99" t="str">
        <f t="shared" ref="P5:P46" si="4">B5</f>
        <v>Acerola poeder</v>
      </c>
      <c r="Q5" s="103">
        <f>IFERROR($O5/1000*C5,0)</f>
        <v>0</v>
      </c>
      <c r="R5" s="103">
        <f t="shared" ref="R5:Y20" si="5">IFERROR($O5/1000*D5,0)</f>
        <v>0</v>
      </c>
      <c r="S5" s="103">
        <f t="shared" si="5"/>
        <v>0</v>
      </c>
      <c r="T5" s="103">
        <f t="shared" si="5"/>
        <v>0</v>
      </c>
      <c r="U5" s="103">
        <f t="shared" si="5"/>
        <v>0</v>
      </c>
      <c r="V5" s="103">
        <f t="shared" si="5"/>
        <v>0</v>
      </c>
      <c r="W5" s="103">
        <f t="shared" si="5"/>
        <v>0</v>
      </c>
      <c r="X5" s="103">
        <f t="shared" si="5"/>
        <v>0</v>
      </c>
      <c r="Y5" s="103">
        <f t="shared" si="5"/>
        <v>0</v>
      </c>
      <c r="AA5" s="104">
        <f t="shared" ref="AA5:AA46" si="6">SUM(Q5:Y5)</f>
        <v>0</v>
      </c>
      <c r="AG5" s="105"/>
      <c r="AL5" s="105"/>
    </row>
    <row r="6" spans="2:38">
      <c r="B6" s="99" t="s">
        <v>102</v>
      </c>
      <c r="C6" s="100"/>
      <c r="D6" s="100"/>
      <c r="E6" s="100"/>
      <c r="F6" s="100"/>
      <c r="G6" s="100"/>
      <c r="H6" s="100"/>
      <c r="I6" s="100"/>
      <c r="J6" s="100"/>
      <c r="K6" s="100"/>
      <c r="M6" s="101">
        <f t="shared" ref="M6:M46" si="7">SUM(C6:K6)</f>
        <v>0</v>
      </c>
      <c r="O6" s="102"/>
      <c r="P6" s="99" t="str">
        <f t="shared" si="4"/>
        <v>Amandel (geschaafd)</v>
      </c>
      <c r="Q6" s="103">
        <f t="shared" ref="Q6:Y46" si="8">IFERROR($O6/1000*C6,0)</f>
        <v>0</v>
      </c>
      <c r="R6" s="103">
        <f t="shared" si="5"/>
        <v>0</v>
      </c>
      <c r="S6" s="103">
        <f t="shared" si="5"/>
        <v>0</v>
      </c>
      <c r="T6" s="103">
        <f t="shared" si="5"/>
        <v>0</v>
      </c>
      <c r="U6" s="103">
        <f t="shared" si="5"/>
        <v>0</v>
      </c>
      <c r="V6" s="103">
        <f t="shared" si="5"/>
        <v>0</v>
      </c>
      <c r="W6" s="103">
        <f t="shared" si="5"/>
        <v>0</v>
      </c>
      <c r="X6" s="103">
        <f t="shared" si="5"/>
        <v>0</v>
      </c>
      <c r="Y6" s="103">
        <f t="shared" si="5"/>
        <v>0</v>
      </c>
      <c r="AA6" s="104">
        <f t="shared" si="6"/>
        <v>0</v>
      </c>
      <c r="AG6" s="105"/>
      <c r="AL6" s="105"/>
    </row>
    <row r="7" spans="2:38">
      <c r="B7" s="99" t="s">
        <v>28</v>
      </c>
      <c r="C7" s="100"/>
      <c r="D7" s="100"/>
      <c r="E7" s="100"/>
      <c r="F7" s="100"/>
      <c r="G7" s="100"/>
      <c r="H7" s="100"/>
      <c r="I7" s="100"/>
      <c r="J7" s="100"/>
      <c r="K7" s="100"/>
      <c r="M7" s="101">
        <f t="shared" si="7"/>
        <v>0</v>
      </c>
      <c r="O7" s="102">
        <v>17.440000000000001</v>
      </c>
      <c r="P7" s="99" t="str">
        <f t="shared" si="4"/>
        <v>Bakpoeder</v>
      </c>
      <c r="Q7" s="103">
        <f t="shared" si="8"/>
        <v>0</v>
      </c>
      <c r="R7" s="103">
        <f t="shared" si="5"/>
        <v>0</v>
      </c>
      <c r="S7" s="103">
        <f t="shared" si="5"/>
        <v>0</v>
      </c>
      <c r="T7" s="103">
        <f t="shared" si="5"/>
        <v>0</v>
      </c>
      <c r="U7" s="103">
        <f t="shared" si="5"/>
        <v>0</v>
      </c>
      <c r="V7" s="103">
        <f t="shared" si="5"/>
        <v>0</v>
      </c>
      <c r="W7" s="103">
        <f t="shared" si="5"/>
        <v>0</v>
      </c>
      <c r="X7" s="103">
        <f t="shared" si="5"/>
        <v>0</v>
      </c>
      <c r="Y7" s="103">
        <f t="shared" si="5"/>
        <v>0</v>
      </c>
      <c r="AA7" s="104">
        <f t="shared" si="6"/>
        <v>0</v>
      </c>
      <c r="AG7" s="94"/>
      <c r="AL7" s="94"/>
    </row>
    <row r="8" spans="2:38">
      <c r="B8" s="99" t="s">
        <v>115</v>
      </c>
      <c r="C8" s="100"/>
      <c r="D8" s="100"/>
      <c r="E8" s="100"/>
      <c r="F8" s="100"/>
      <c r="G8" s="100"/>
      <c r="H8" s="100"/>
      <c r="I8" s="100"/>
      <c r="J8" s="100"/>
      <c r="K8" s="100"/>
      <c r="M8" s="101">
        <f t="shared" si="7"/>
        <v>0</v>
      </c>
      <c r="O8" s="102">
        <v>4.49</v>
      </c>
      <c r="P8" s="99" t="str">
        <f t="shared" si="4"/>
        <v>Bio appels</v>
      </c>
      <c r="Q8" s="103">
        <f t="shared" si="8"/>
        <v>0</v>
      </c>
      <c r="R8" s="103">
        <f t="shared" si="5"/>
        <v>0</v>
      </c>
      <c r="S8" s="103">
        <f t="shared" si="5"/>
        <v>0</v>
      </c>
      <c r="T8" s="103">
        <f t="shared" si="5"/>
        <v>0</v>
      </c>
      <c r="U8" s="103">
        <f t="shared" si="5"/>
        <v>0</v>
      </c>
      <c r="V8" s="103">
        <f t="shared" si="5"/>
        <v>0</v>
      </c>
      <c r="W8" s="103">
        <f t="shared" si="5"/>
        <v>0</v>
      </c>
      <c r="X8" s="103">
        <f t="shared" si="5"/>
        <v>0</v>
      </c>
      <c r="Y8" s="103">
        <f t="shared" si="5"/>
        <v>0</v>
      </c>
      <c r="AA8" s="104">
        <f t="shared" si="6"/>
        <v>0</v>
      </c>
    </row>
    <row r="9" spans="2:38">
      <c r="B9" s="99" t="s">
        <v>15</v>
      </c>
      <c r="C9" s="100"/>
      <c r="D9" s="100"/>
      <c r="E9" s="100"/>
      <c r="F9" s="100"/>
      <c r="G9" s="100"/>
      <c r="H9" s="100"/>
      <c r="I9" s="100"/>
      <c r="J9" s="100"/>
      <c r="K9" s="100"/>
      <c r="M9" s="101">
        <f t="shared" si="7"/>
        <v>0</v>
      </c>
      <c r="O9" s="102">
        <v>2.99</v>
      </c>
      <c r="P9" s="99" t="str">
        <f t="shared" si="4"/>
        <v>Boter</v>
      </c>
      <c r="Q9" s="103">
        <f t="shared" si="8"/>
        <v>0</v>
      </c>
      <c r="R9" s="103">
        <f t="shared" si="5"/>
        <v>0</v>
      </c>
      <c r="S9" s="103">
        <f t="shared" si="5"/>
        <v>0</v>
      </c>
      <c r="T9" s="103">
        <f t="shared" si="5"/>
        <v>0</v>
      </c>
      <c r="U9" s="103">
        <f t="shared" si="5"/>
        <v>0</v>
      </c>
      <c r="V9" s="103">
        <f t="shared" si="5"/>
        <v>0</v>
      </c>
      <c r="W9" s="103">
        <f t="shared" si="5"/>
        <v>0</v>
      </c>
      <c r="X9" s="103">
        <f t="shared" si="5"/>
        <v>0</v>
      </c>
      <c r="Y9" s="103">
        <f t="shared" si="5"/>
        <v>0</v>
      </c>
      <c r="AA9" s="104">
        <f t="shared" si="6"/>
        <v>0</v>
      </c>
      <c r="AG9" s="94"/>
      <c r="AL9" s="94"/>
    </row>
    <row r="10" spans="2:38">
      <c r="B10" s="99" t="s">
        <v>29</v>
      </c>
      <c r="C10" s="100"/>
      <c r="D10" s="100"/>
      <c r="E10" s="100"/>
      <c r="F10" s="100"/>
      <c r="G10" s="100"/>
      <c r="H10" s="100"/>
      <c r="I10" s="100"/>
      <c r="J10" s="100"/>
      <c r="K10" s="100"/>
      <c r="M10" s="101">
        <f t="shared" si="7"/>
        <v>0</v>
      </c>
      <c r="O10" s="102">
        <v>35.92</v>
      </c>
      <c r="P10" s="99" t="str">
        <f t="shared" si="4"/>
        <v>Cacaopoeder</v>
      </c>
      <c r="Q10" s="103">
        <f t="shared" si="8"/>
        <v>0</v>
      </c>
      <c r="R10" s="103">
        <f t="shared" si="5"/>
        <v>0</v>
      </c>
      <c r="S10" s="103">
        <f t="shared" si="5"/>
        <v>0</v>
      </c>
      <c r="T10" s="103">
        <f t="shared" si="5"/>
        <v>0</v>
      </c>
      <c r="U10" s="103">
        <f t="shared" si="5"/>
        <v>0</v>
      </c>
      <c r="V10" s="103">
        <f t="shared" si="5"/>
        <v>0</v>
      </c>
      <c r="W10" s="103">
        <f t="shared" si="5"/>
        <v>0</v>
      </c>
      <c r="X10" s="103">
        <f t="shared" si="5"/>
        <v>0</v>
      </c>
      <c r="Y10" s="103">
        <f t="shared" si="5"/>
        <v>0</v>
      </c>
      <c r="AA10" s="104">
        <f t="shared" si="6"/>
        <v>0</v>
      </c>
    </row>
    <row r="11" spans="2:38">
      <c r="B11" s="99" t="s">
        <v>17</v>
      </c>
      <c r="C11" s="100"/>
      <c r="D11" s="100"/>
      <c r="E11" s="100"/>
      <c r="F11" s="100"/>
      <c r="G11" s="100"/>
      <c r="H11" s="100"/>
      <c r="I11" s="100"/>
      <c r="J11" s="100"/>
      <c r="K11" s="100"/>
      <c r="M11" s="101">
        <f t="shared" si="7"/>
        <v>0</v>
      </c>
      <c r="O11" s="102">
        <v>8.6</v>
      </c>
      <c r="P11" s="99" t="str">
        <f t="shared" si="4"/>
        <v>Ei</v>
      </c>
      <c r="Q11" s="103">
        <f t="shared" si="8"/>
        <v>0</v>
      </c>
      <c r="R11" s="103">
        <f t="shared" si="5"/>
        <v>0</v>
      </c>
      <c r="S11" s="103">
        <f t="shared" si="5"/>
        <v>0</v>
      </c>
      <c r="T11" s="103">
        <f t="shared" si="5"/>
        <v>0</v>
      </c>
      <c r="U11" s="103">
        <f t="shared" si="5"/>
        <v>0</v>
      </c>
      <c r="V11" s="103">
        <f t="shared" si="5"/>
        <v>0</v>
      </c>
      <c r="W11" s="103">
        <f t="shared" si="5"/>
        <v>0</v>
      </c>
      <c r="X11" s="103">
        <f t="shared" si="5"/>
        <v>0</v>
      </c>
      <c r="Y11" s="103">
        <f t="shared" si="5"/>
        <v>0</v>
      </c>
      <c r="AA11" s="104">
        <f t="shared" si="6"/>
        <v>0</v>
      </c>
      <c r="AG11" s="105"/>
    </row>
    <row r="12" spans="2:38">
      <c r="B12" s="99" t="s">
        <v>53</v>
      </c>
      <c r="C12" s="100"/>
      <c r="D12" s="100"/>
      <c r="E12" s="100"/>
      <c r="F12" s="100"/>
      <c r="G12" s="100"/>
      <c r="H12" s="100"/>
      <c r="I12" s="100"/>
      <c r="J12" s="100"/>
      <c r="K12" s="100"/>
      <c r="M12" s="101">
        <f t="shared" si="7"/>
        <v>0</v>
      </c>
      <c r="O12" s="102">
        <v>4.5199999999999996</v>
      </c>
      <c r="P12" s="99" t="str">
        <f t="shared" si="4"/>
        <v>Gist (vers)</v>
      </c>
      <c r="Q12" s="103">
        <f t="shared" si="8"/>
        <v>0</v>
      </c>
      <c r="R12" s="103">
        <f t="shared" si="5"/>
        <v>0</v>
      </c>
      <c r="S12" s="103">
        <f t="shared" si="5"/>
        <v>0</v>
      </c>
      <c r="T12" s="103">
        <f t="shared" si="5"/>
        <v>0</v>
      </c>
      <c r="U12" s="103">
        <f t="shared" si="5"/>
        <v>0</v>
      </c>
      <c r="V12" s="103">
        <f t="shared" si="5"/>
        <v>0</v>
      </c>
      <c r="W12" s="103">
        <f t="shared" si="5"/>
        <v>0</v>
      </c>
      <c r="X12" s="103">
        <f t="shared" si="5"/>
        <v>0</v>
      </c>
      <c r="Y12" s="103">
        <f t="shared" si="5"/>
        <v>0</v>
      </c>
      <c r="AA12" s="104">
        <f t="shared" si="6"/>
        <v>0</v>
      </c>
      <c r="AG12" s="105"/>
    </row>
    <row r="13" spans="2:38">
      <c r="B13" s="99" t="s">
        <v>101</v>
      </c>
      <c r="C13" s="100"/>
      <c r="D13" s="100"/>
      <c r="E13" s="100"/>
      <c r="F13" s="100"/>
      <c r="G13" s="100"/>
      <c r="H13" s="100"/>
      <c r="I13" s="100"/>
      <c r="J13" s="100"/>
      <c r="K13" s="100"/>
      <c r="M13" s="101">
        <f t="shared" si="7"/>
        <v>0</v>
      </c>
      <c r="O13" s="103">
        <v>3.65</v>
      </c>
      <c r="P13" s="99" t="str">
        <f t="shared" si="4"/>
        <v>Hagelzucker</v>
      </c>
      <c r="Q13" s="103">
        <f t="shared" si="8"/>
        <v>0</v>
      </c>
      <c r="R13" s="103">
        <f t="shared" si="5"/>
        <v>0</v>
      </c>
      <c r="S13" s="103">
        <f t="shared" si="5"/>
        <v>0</v>
      </c>
      <c r="T13" s="103">
        <f t="shared" si="5"/>
        <v>0</v>
      </c>
      <c r="U13" s="103">
        <f t="shared" si="5"/>
        <v>0</v>
      </c>
      <c r="V13" s="103">
        <f t="shared" si="5"/>
        <v>0</v>
      </c>
      <c r="W13" s="103">
        <f t="shared" si="5"/>
        <v>0</v>
      </c>
      <c r="X13" s="103">
        <f t="shared" si="5"/>
        <v>0</v>
      </c>
      <c r="Y13" s="103">
        <f t="shared" si="5"/>
        <v>0</v>
      </c>
      <c r="AA13" s="104">
        <f t="shared" si="6"/>
        <v>0</v>
      </c>
      <c r="AG13" s="94"/>
    </row>
    <row r="14" spans="2:38">
      <c r="B14" s="99" t="s">
        <v>36</v>
      </c>
      <c r="C14" s="100"/>
      <c r="D14" s="100"/>
      <c r="E14" s="100"/>
      <c r="F14" s="100"/>
      <c r="G14" s="100"/>
      <c r="H14" s="100"/>
      <c r="I14" s="100"/>
      <c r="J14" s="100"/>
      <c r="K14" s="100"/>
      <c r="M14" s="101">
        <f t="shared" si="7"/>
        <v>0</v>
      </c>
      <c r="O14" s="103">
        <v>1.6</v>
      </c>
      <c r="P14" s="99" t="str">
        <f t="shared" si="4"/>
        <v>Havervlokken</v>
      </c>
      <c r="Q14" s="103">
        <f t="shared" si="8"/>
        <v>0</v>
      </c>
      <c r="R14" s="103">
        <f t="shared" si="5"/>
        <v>0</v>
      </c>
      <c r="S14" s="103">
        <f t="shared" si="5"/>
        <v>0</v>
      </c>
      <c r="T14" s="103">
        <f t="shared" si="5"/>
        <v>0</v>
      </c>
      <c r="U14" s="103">
        <f t="shared" si="5"/>
        <v>0</v>
      </c>
      <c r="V14" s="103">
        <f t="shared" si="5"/>
        <v>0</v>
      </c>
      <c r="W14" s="103">
        <f t="shared" si="5"/>
        <v>0</v>
      </c>
      <c r="X14" s="103">
        <f t="shared" si="5"/>
        <v>0</v>
      </c>
      <c r="Y14" s="103">
        <f t="shared" si="5"/>
        <v>0</v>
      </c>
      <c r="AA14" s="104">
        <f t="shared" si="6"/>
        <v>0</v>
      </c>
      <c r="AG14" s="94"/>
    </row>
    <row r="15" spans="2:38">
      <c r="B15" s="99" t="s">
        <v>37</v>
      </c>
      <c r="C15" s="100"/>
      <c r="D15" s="100"/>
      <c r="E15" s="100"/>
      <c r="F15" s="100"/>
      <c r="G15" s="100"/>
      <c r="H15" s="100"/>
      <c r="I15" s="100"/>
      <c r="J15" s="100"/>
      <c r="K15" s="100"/>
      <c r="M15" s="101">
        <f t="shared" si="7"/>
        <v>0</v>
      </c>
      <c r="O15" s="103">
        <v>10.8</v>
      </c>
      <c r="P15" s="99" t="str">
        <f t="shared" si="4"/>
        <v>Honing</v>
      </c>
      <c r="Q15" s="103">
        <f t="shared" si="8"/>
        <v>0</v>
      </c>
      <c r="R15" s="103">
        <f t="shared" si="5"/>
        <v>0</v>
      </c>
      <c r="S15" s="103">
        <f t="shared" si="5"/>
        <v>0</v>
      </c>
      <c r="T15" s="103">
        <f t="shared" si="5"/>
        <v>0</v>
      </c>
      <c r="U15" s="103">
        <f t="shared" si="5"/>
        <v>0</v>
      </c>
      <c r="V15" s="103">
        <f t="shared" si="5"/>
        <v>0</v>
      </c>
      <c r="W15" s="103">
        <f t="shared" si="5"/>
        <v>0</v>
      </c>
      <c r="X15" s="103">
        <f t="shared" si="5"/>
        <v>0</v>
      </c>
      <c r="Y15" s="103">
        <f t="shared" si="5"/>
        <v>0</v>
      </c>
      <c r="AA15" s="104">
        <f t="shared" si="6"/>
        <v>0</v>
      </c>
    </row>
    <row r="16" spans="2:38">
      <c r="B16" s="99" t="s">
        <v>117</v>
      </c>
      <c r="C16" s="100"/>
      <c r="D16" s="100"/>
      <c r="E16" s="100"/>
      <c r="F16" s="100"/>
      <c r="G16" s="100"/>
      <c r="H16" s="100"/>
      <c r="I16" s="100"/>
      <c r="J16" s="100"/>
      <c r="K16" s="100"/>
      <c r="M16" s="101">
        <f t="shared" si="7"/>
        <v>0</v>
      </c>
      <c r="O16" s="102">
        <v>3.19</v>
      </c>
      <c r="P16" s="99" t="str">
        <f t="shared" si="4"/>
        <v>Jus d'orange</v>
      </c>
      <c r="Q16" s="103">
        <f t="shared" si="8"/>
        <v>0</v>
      </c>
      <c r="R16" s="103">
        <f t="shared" si="5"/>
        <v>0</v>
      </c>
      <c r="S16" s="103">
        <f t="shared" si="5"/>
        <v>0</v>
      </c>
      <c r="T16" s="103">
        <f t="shared" si="5"/>
        <v>0</v>
      </c>
      <c r="U16" s="103">
        <f t="shared" si="5"/>
        <v>0</v>
      </c>
      <c r="V16" s="103">
        <f t="shared" si="5"/>
        <v>0</v>
      </c>
      <c r="W16" s="103">
        <f t="shared" si="5"/>
        <v>0</v>
      </c>
      <c r="X16" s="103">
        <f t="shared" si="5"/>
        <v>0</v>
      </c>
      <c r="Y16" s="103">
        <f t="shared" si="5"/>
        <v>0</v>
      </c>
      <c r="AA16" s="104">
        <f t="shared" si="6"/>
        <v>0</v>
      </c>
    </row>
    <row r="17" spans="2:27">
      <c r="B17" s="99" t="s">
        <v>116</v>
      </c>
      <c r="C17" s="100"/>
      <c r="D17" s="100"/>
      <c r="E17" s="100"/>
      <c r="F17" s="100"/>
      <c r="G17" s="100"/>
      <c r="H17" s="100"/>
      <c r="I17" s="100"/>
      <c r="J17" s="100"/>
      <c r="K17" s="100"/>
      <c r="M17" s="101">
        <f t="shared" si="7"/>
        <v>0</v>
      </c>
      <c r="O17" s="102">
        <v>22</v>
      </c>
      <c r="P17" s="99" t="str">
        <f t="shared" si="4"/>
        <v>Kaneel</v>
      </c>
      <c r="Q17" s="103">
        <f t="shared" si="8"/>
        <v>0</v>
      </c>
      <c r="R17" s="103">
        <f t="shared" si="5"/>
        <v>0</v>
      </c>
      <c r="S17" s="103">
        <f t="shared" si="5"/>
        <v>0</v>
      </c>
      <c r="T17" s="103">
        <f t="shared" si="5"/>
        <v>0</v>
      </c>
      <c r="U17" s="103">
        <f t="shared" si="5"/>
        <v>0</v>
      </c>
      <c r="V17" s="103">
        <f t="shared" si="5"/>
        <v>0</v>
      </c>
      <c r="W17" s="103">
        <f t="shared" si="5"/>
        <v>0</v>
      </c>
      <c r="X17" s="103">
        <f t="shared" si="5"/>
        <v>0</v>
      </c>
      <c r="Y17" s="103">
        <f t="shared" si="5"/>
        <v>0</v>
      </c>
      <c r="AA17" s="104">
        <f t="shared" si="6"/>
        <v>0</v>
      </c>
    </row>
    <row r="18" spans="2:27">
      <c r="B18" s="99" t="s">
        <v>18</v>
      </c>
      <c r="C18" s="100"/>
      <c r="D18" s="100"/>
      <c r="E18" s="100"/>
      <c r="F18" s="100"/>
      <c r="G18" s="100"/>
      <c r="H18" s="100"/>
      <c r="I18" s="100"/>
      <c r="J18" s="100"/>
      <c r="K18" s="100"/>
      <c r="M18" s="101">
        <f t="shared" si="7"/>
        <v>0</v>
      </c>
      <c r="O18" s="102">
        <v>1.5</v>
      </c>
      <c r="P18" s="99" t="str">
        <f t="shared" si="4"/>
        <v>Melk</v>
      </c>
      <c r="Q18" s="103">
        <f t="shared" si="8"/>
        <v>0</v>
      </c>
      <c r="R18" s="103">
        <f t="shared" si="5"/>
        <v>0</v>
      </c>
      <c r="S18" s="103">
        <f t="shared" si="5"/>
        <v>0</v>
      </c>
      <c r="T18" s="103">
        <f t="shared" si="5"/>
        <v>0</v>
      </c>
      <c r="U18" s="103">
        <f t="shared" si="5"/>
        <v>0</v>
      </c>
      <c r="V18" s="103">
        <f t="shared" si="5"/>
        <v>0</v>
      </c>
      <c r="W18" s="103">
        <f t="shared" si="5"/>
        <v>0</v>
      </c>
      <c r="X18" s="103">
        <f t="shared" si="5"/>
        <v>0</v>
      </c>
      <c r="Y18" s="103">
        <f t="shared" si="5"/>
        <v>0</v>
      </c>
      <c r="AA18" s="104">
        <f t="shared" si="6"/>
        <v>0</v>
      </c>
    </row>
    <row r="19" spans="2:27">
      <c r="B19" s="99" t="s">
        <v>39</v>
      </c>
      <c r="C19" s="100"/>
      <c r="D19" s="100"/>
      <c r="E19" s="100"/>
      <c r="F19" s="100"/>
      <c r="G19" s="100"/>
      <c r="H19" s="100"/>
      <c r="I19" s="100"/>
      <c r="J19" s="100"/>
      <c r="K19" s="100"/>
      <c r="M19" s="101">
        <f t="shared" si="7"/>
        <v>0</v>
      </c>
      <c r="O19" s="103">
        <v>10.99</v>
      </c>
      <c r="P19" s="99" t="str">
        <f t="shared" si="4"/>
        <v>Olijfolie</v>
      </c>
      <c r="Q19" s="103">
        <f t="shared" si="8"/>
        <v>0</v>
      </c>
      <c r="R19" s="103">
        <f t="shared" si="5"/>
        <v>0</v>
      </c>
      <c r="S19" s="103">
        <f t="shared" si="5"/>
        <v>0</v>
      </c>
      <c r="T19" s="103">
        <f t="shared" si="5"/>
        <v>0</v>
      </c>
      <c r="U19" s="103">
        <f t="shared" si="5"/>
        <v>0</v>
      </c>
      <c r="V19" s="103">
        <f t="shared" si="5"/>
        <v>0</v>
      </c>
      <c r="W19" s="103">
        <f t="shared" si="5"/>
        <v>0</v>
      </c>
      <c r="X19" s="103">
        <f t="shared" si="5"/>
        <v>0</v>
      </c>
      <c r="Y19" s="103">
        <f t="shared" si="5"/>
        <v>0</v>
      </c>
      <c r="AA19" s="104">
        <f t="shared" si="6"/>
        <v>0</v>
      </c>
    </row>
    <row r="20" spans="2:27">
      <c r="B20" s="99" t="s">
        <v>91</v>
      </c>
      <c r="C20" s="100"/>
      <c r="D20" s="100"/>
      <c r="E20" s="100"/>
      <c r="F20" s="100"/>
      <c r="G20" s="100"/>
      <c r="H20" s="100"/>
      <c r="I20" s="100"/>
      <c r="J20" s="100"/>
      <c r="K20" s="100"/>
      <c r="M20" s="101">
        <f t="shared" si="7"/>
        <v>0</v>
      </c>
      <c r="O20" s="103">
        <f>9.99/935*1000</f>
        <v>10.684491978609627</v>
      </c>
      <c r="P20" s="99" t="str">
        <f t="shared" si="4"/>
        <v>Olijfringen (zwart)</v>
      </c>
      <c r="Q20" s="103">
        <f t="shared" si="8"/>
        <v>0</v>
      </c>
      <c r="R20" s="103">
        <f t="shared" si="5"/>
        <v>0</v>
      </c>
      <c r="S20" s="103">
        <f t="shared" si="5"/>
        <v>0</v>
      </c>
      <c r="T20" s="103">
        <f t="shared" si="5"/>
        <v>0</v>
      </c>
      <c r="U20" s="103">
        <f t="shared" si="5"/>
        <v>0</v>
      </c>
      <c r="V20" s="103">
        <f t="shared" si="5"/>
        <v>0</v>
      </c>
      <c r="W20" s="103">
        <f t="shared" si="5"/>
        <v>0</v>
      </c>
      <c r="X20" s="103">
        <f t="shared" si="5"/>
        <v>0</v>
      </c>
      <c r="Y20" s="103">
        <f t="shared" si="5"/>
        <v>0</v>
      </c>
      <c r="AA20" s="104">
        <f t="shared" si="6"/>
        <v>0</v>
      </c>
    </row>
    <row r="21" spans="2:27">
      <c r="B21" s="99" t="s">
        <v>104</v>
      </c>
      <c r="C21" s="100"/>
      <c r="D21" s="100"/>
      <c r="E21" s="100"/>
      <c r="F21" s="100"/>
      <c r="G21" s="100"/>
      <c r="H21" s="100"/>
      <c r="I21" s="100"/>
      <c r="J21" s="100"/>
      <c r="K21" s="100"/>
      <c r="M21" s="101">
        <f t="shared" si="7"/>
        <v>0</v>
      </c>
      <c r="O21" s="103"/>
      <c r="P21" s="99" t="str">
        <f t="shared" si="4"/>
        <v>Oregano (gedroogd)</v>
      </c>
      <c r="Q21" s="103">
        <f t="shared" si="8"/>
        <v>0</v>
      </c>
      <c r="R21" s="103">
        <f t="shared" si="8"/>
        <v>0</v>
      </c>
      <c r="S21" s="103">
        <f t="shared" si="8"/>
        <v>0</v>
      </c>
      <c r="T21" s="103">
        <f t="shared" si="8"/>
        <v>0</v>
      </c>
      <c r="U21" s="103">
        <f t="shared" si="8"/>
        <v>0</v>
      </c>
      <c r="V21" s="103">
        <f t="shared" si="8"/>
        <v>0</v>
      </c>
      <c r="W21" s="103">
        <f t="shared" si="8"/>
        <v>0</v>
      </c>
      <c r="X21" s="103">
        <f t="shared" si="8"/>
        <v>0</v>
      </c>
      <c r="Y21" s="103">
        <f t="shared" si="8"/>
        <v>0</v>
      </c>
      <c r="AA21" s="104">
        <f t="shared" si="6"/>
        <v>0</v>
      </c>
    </row>
    <row r="22" spans="2:27">
      <c r="B22" s="99" t="s">
        <v>64</v>
      </c>
      <c r="C22" s="100"/>
      <c r="D22" s="100"/>
      <c r="E22" s="100"/>
      <c r="F22" s="100"/>
      <c r="G22" s="100"/>
      <c r="H22" s="100"/>
      <c r="I22" s="100"/>
      <c r="J22" s="100"/>
      <c r="K22" s="100"/>
      <c r="M22" s="101">
        <f t="shared" si="7"/>
        <v>0</v>
      </c>
      <c r="O22" s="102">
        <v>1.36</v>
      </c>
      <c r="P22" s="99" t="str">
        <f t="shared" si="4"/>
        <v>Rogge T130/1150</v>
      </c>
      <c r="Q22" s="103">
        <f t="shared" si="8"/>
        <v>0</v>
      </c>
      <c r="R22" s="103">
        <f t="shared" si="8"/>
        <v>0</v>
      </c>
      <c r="S22" s="103">
        <f t="shared" si="8"/>
        <v>0</v>
      </c>
      <c r="T22" s="103">
        <f t="shared" si="8"/>
        <v>0</v>
      </c>
      <c r="U22" s="103">
        <f t="shared" si="8"/>
        <v>0</v>
      </c>
      <c r="V22" s="103">
        <f t="shared" si="8"/>
        <v>0</v>
      </c>
      <c r="W22" s="103">
        <f t="shared" si="8"/>
        <v>0</v>
      </c>
      <c r="X22" s="103">
        <f t="shared" si="8"/>
        <v>0</v>
      </c>
      <c r="Y22" s="103">
        <f t="shared" si="8"/>
        <v>0</v>
      </c>
      <c r="AA22" s="104">
        <f t="shared" si="6"/>
        <v>0</v>
      </c>
    </row>
    <row r="23" spans="2:27">
      <c r="B23" s="99" t="s">
        <v>107</v>
      </c>
      <c r="C23" s="100"/>
      <c r="D23" s="100"/>
      <c r="E23" s="100"/>
      <c r="F23" s="100"/>
      <c r="G23" s="100"/>
      <c r="H23" s="100"/>
      <c r="I23" s="100"/>
      <c r="J23" s="100"/>
      <c r="K23" s="100"/>
      <c r="M23" s="101">
        <f t="shared" si="7"/>
        <v>0</v>
      </c>
      <c r="O23" s="102">
        <v>1.96</v>
      </c>
      <c r="P23" s="99" t="str">
        <f t="shared" si="4"/>
        <v>Rogge T170/Vollkorn</v>
      </c>
      <c r="Q23" s="103">
        <f t="shared" si="8"/>
        <v>0</v>
      </c>
      <c r="R23" s="103">
        <f t="shared" si="8"/>
        <v>0</v>
      </c>
      <c r="S23" s="103">
        <f t="shared" si="8"/>
        <v>0</v>
      </c>
      <c r="T23" s="103">
        <f t="shared" si="8"/>
        <v>0</v>
      </c>
      <c r="U23" s="103">
        <f t="shared" si="8"/>
        <v>0</v>
      </c>
      <c r="V23" s="103">
        <f t="shared" si="8"/>
        <v>0</v>
      </c>
      <c r="W23" s="103">
        <f t="shared" si="8"/>
        <v>0</v>
      </c>
      <c r="X23" s="103">
        <f t="shared" si="8"/>
        <v>0</v>
      </c>
      <c r="Y23" s="103">
        <f t="shared" si="8"/>
        <v>0</v>
      </c>
      <c r="AA23" s="104">
        <f t="shared" si="6"/>
        <v>0</v>
      </c>
    </row>
    <row r="24" spans="2:27">
      <c r="B24" s="99" t="s">
        <v>98</v>
      </c>
      <c r="C24" s="100"/>
      <c r="D24" s="100"/>
      <c r="E24" s="100"/>
      <c r="F24" s="100"/>
      <c r="G24" s="100"/>
      <c r="H24" s="100"/>
      <c r="I24" s="100"/>
      <c r="J24" s="100"/>
      <c r="K24" s="100"/>
      <c r="M24" s="101">
        <f t="shared" si="7"/>
        <v>0</v>
      </c>
      <c r="O24" s="102">
        <v>1.36</v>
      </c>
      <c r="P24" s="99" t="str">
        <f t="shared" si="4"/>
        <v>Rogge T85/997</v>
      </c>
      <c r="Q24" s="103">
        <f t="shared" si="8"/>
        <v>0</v>
      </c>
      <c r="R24" s="103">
        <f t="shared" si="8"/>
        <v>0</v>
      </c>
      <c r="S24" s="103">
        <f t="shared" si="8"/>
        <v>0</v>
      </c>
      <c r="T24" s="103">
        <f t="shared" si="8"/>
        <v>0</v>
      </c>
      <c r="U24" s="103">
        <f t="shared" si="8"/>
        <v>0</v>
      </c>
      <c r="V24" s="103">
        <f t="shared" si="8"/>
        <v>0</v>
      </c>
      <c r="W24" s="103">
        <f t="shared" si="8"/>
        <v>0</v>
      </c>
      <c r="X24" s="103">
        <f t="shared" si="8"/>
        <v>0</v>
      </c>
      <c r="Y24" s="103">
        <f t="shared" si="8"/>
        <v>0</v>
      </c>
      <c r="AA24" s="104">
        <f t="shared" si="6"/>
        <v>0</v>
      </c>
    </row>
    <row r="25" spans="2:27">
      <c r="B25" s="99" t="s">
        <v>103</v>
      </c>
      <c r="C25" s="100"/>
      <c r="D25" s="100"/>
      <c r="E25" s="100"/>
      <c r="F25" s="100"/>
      <c r="G25" s="100"/>
      <c r="H25" s="100"/>
      <c r="I25" s="100"/>
      <c r="J25" s="100"/>
      <c r="K25" s="100"/>
      <c r="M25" s="101">
        <f t="shared" si="7"/>
        <v>0</v>
      </c>
      <c r="O25" s="102"/>
      <c r="P25" s="99" t="str">
        <f t="shared" si="4"/>
        <v>Rozemarijn (gedroogd)</v>
      </c>
      <c r="Q25" s="103">
        <f t="shared" si="8"/>
        <v>0</v>
      </c>
      <c r="R25" s="103">
        <f t="shared" si="8"/>
        <v>0</v>
      </c>
      <c r="S25" s="103">
        <f t="shared" si="8"/>
        <v>0</v>
      </c>
      <c r="T25" s="103">
        <f t="shared" si="8"/>
        <v>0</v>
      </c>
      <c r="U25" s="103">
        <f t="shared" si="8"/>
        <v>0</v>
      </c>
      <c r="V25" s="103">
        <f t="shared" si="8"/>
        <v>0</v>
      </c>
      <c r="W25" s="103">
        <f t="shared" si="8"/>
        <v>0</v>
      </c>
      <c r="X25" s="103">
        <f t="shared" si="8"/>
        <v>0</v>
      </c>
      <c r="Y25" s="103">
        <f t="shared" si="8"/>
        <v>0</v>
      </c>
      <c r="AA25" s="104">
        <f t="shared" si="6"/>
        <v>0</v>
      </c>
    </row>
    <row r="26" spans="2:27">
      <c r="B26" s="106" t="s">
        <v>99</v>
      </c>
      <c r="C26" s="100"/>
      <c r="D26" s="100"/>
      <c r="E26" s="100"/>
      <c r="F26" s="100"/>
      <c r="G26" s="100"/>
      <c r="H26" s="100"/>
      <c r="I26" s="100"/>
      <c r="J26" s="100"/>
      <c r="K26" s="100"/>
      <c r="M26" s="101">
        <f t="shared" si="7"/>
        <v>0</v>
      </c>
      <c r="O26" s="103">
        <v>10.7</v>
      </c>
      <c r="P26" s="99" t="str">
        <f t="shared" si="4"/>
        <v>Rum</v>
      </c>
      <c r="Q26" s="103">
        <f t="shared" si="8"/>
        <v>0</v>
      </c>
      <c r="R26" s="103">
        <f t="shared" si="8"/>
        <v>0</v>
      </c>
      <c r="S26" s="103">
        <f t="shared" si="8"/>
        <v>0</v>
      </c>
      <c r="T26" s="103">
        <f t="shared" si="8"/>
        <v>0</v>
      </c>
      <c r="U26" s="103">
        <f t="shared" si="8"/>
        <v>0</v>
      </c>
      <c r="V26" s="103">
        <f t="shared" si="8"/>
        <v>0</v>
      </c>
      <c r="W26" s="103">
        <f t="shared" si="8"/>
        <v>0</v>
      </c>
      <c r="X26" s="103">
        <f t="shared" si="8"/>
        <v>0</v>
      </c>
      <c r="Y26" s="103">
        <f t="shared" si="8"/>
        <v>0</v>
      </c>
      <c r="AA26" s="104">
        <f t="shared" si="6"/>
        <v>0</v>
      </c>
    </row>
    <row r="27" spans="2:27">
      <c r="B27" s="106" t="s">
        <v>96</v>
      </c>
      <c r="C27" s="100"/>
      <c r="D27" s="100"/>
      <c r="E27" s="100"/>
      <c r="F27" s="100"/>
      <c r="G27" s="100"/>
      <c r="H27" s="100"/>
      <c r="I27" s="100"/>
      <c r="J27" s="100"/>
      <c r="K27" s="100"/>
      <c r="M27" s="101">
        <f t="shared" si="7"/>
        <v>0</v>
      </c>
      <c r="O27" s="103">
        <v>3.49</v>
      </c>
      <c r="P27" s="99" t="str">
        <f t="shared" si="4"/>
        <v>Semola/Durum/Hartweizen</v>
      </c>
      <c r="Q27" s="103">
        <f t="shared" si="8"/>
        <v>0</v>
      </c>
      <c r="R27" s="103">
        <f t="shared" si="8"/>
        <v>0</v>
      </c>
      <c r="S27" s="103">
        <f t="shared" si="8"/>
        <v>0</v>
      </c>
      <c r="T27" s="103">
        <f t="shared" si="8"/>
        <v>0</v>
      </c>
      <c r="U27" s="103">
        <f t="shared" si="8"/>
        <v>0</v>
      </c>
      <c r="V27" s="103">
        <f t="shared" si="8"/>
        <v>0</v>
      </c>
      <c r="W27" s="103">
        <f t="shared" si="8"/>
        <v>0</v>
      </c>
      <c r="X27" s="103">
        <f t="shared" si="8"/>
        <v>0</v>
      </c>
      <c r="Y27" s="103">
        <f t="shared" si="8"/>
        <v>0</v>
      </c>
      <c r="AA27" s="104">
        <f t="shared" si="6"/>
        <v>0</v>
      </c>
    </row>
    <row r="28" spans="2:27">
      <c r="B28" s="106" t="s">
        <v>105</v>
      </c>
      <c r="C28" s="100"/>
      <c r="D28" s="100"/>
      <c r="E28" s="100"/>
      <c r="F28" s="100"/>
      <c r="G28" s="100"/>
      <c r="H28" s="100"/>
      <c r="I28" s="100"/>
      <c r="J28" s="100"/>
      <c r="K28" s="100"/>
      <c r="M28" s="101">
        <f t="shared" si="7"/>
        <v>0</v>
      </c>
      <c r="O28" s="103">
        <v>8.41</v>
      </c>
      <c r="P28" s="99" t="str">
        <f t="shared" si="4"/>
        <v>Sesam (zwart)</v>
      </c>
      <c r="Q28" s="103">
        <f t="shared" si="8"/>
        <v>0</v>
      </c>
      <c r="R28" s="103">
        <f t="shared" si="8"/>
        <v>0</v>
      </c>
      <c r="S28" s="103">
        <f t="shared" si="8"/>
        <v>0</v>
      </c>
      <c r="T28" s="103">
        <f t="shared" si="8"/>
        <v>0</v>
      </c>
      <c r="U28" s="103">
        <f t="shared" si="8"/>
        <v>0</v>
      </c>
      <c r="V28" s="103">
        <f t="shared" si="8"/>
        <v>0</v>
      </c>
      <c r="W28" s="103">
        <f t="shared" si="8"/>
        <v>0</v>
      </c>
      <c r="X28" s="103">
        <f t="shared" si="8"/>
        <v>0</v>
      </c>
      <c r="Y28" s="103">
        <f t="shared" si="8"/>
        <v>0</v>
      </c>
      <c r="AA28" s="104">
        <f t="shared" si="6"/>
        <v>0</v>
      </c>
    </row>
    <row r="29" spans="2:27">
      <c r="B29" s="99" t="s">
        <v>74</v>
      </c>
      <c r="C29" s="100"/>
      <c r="D29" s="100"/>
      <c r="E29" s="100"/>
      <c r="F29" s="100"/>
      <c r="G29" s="100"/>
      <c r="H29" s="100"/>
      <c r="I29" s="100"/>
      <c r="J29" s="100"/>
      <c r="K29" s="100"/>
      <c r="M29" s="101">
        <f t="shared" si="7"/>
        <v>0</v>
      </c>
      <c r="O29" s="102">
        <v>3.64</v>
      </c>
      <c r="P29" s="99" t="str">
        <f t="shared" si="4"/>
        <v>Spelt T100/vollkorn</v>
      </c>
      <c r="Q29" s="103">
        <f t="shared" si="8"/>
        <v>0</v>
      </c>
      <c r="R29" s="103">
        <f t="shared" si="8"/>
        <v>0</v>
      </c>
      <c r="S29" s="103">
        <f t="shared" si="8"/>
        <v>0</v>
      </c>
      <c r="T29" s="103">
        <f t="shared" si="8"/>
        <v>0</v>
      </c>
      <c r="U29" s="103">
        <f t="shared" si="8"/>
        <v>0</v>
      </c>
      <c r="V29" s="103">
        <f t="shared" si="8"/>
        <v>0</v>
      </c>
      <c r="W29" s="103">
        <f t="shared" si="8"/>
        <v>0</v>
      </c>
      <c r="X29" s="103">
        <f t="shared" si="8"/>
        <v>0</v>
      </c>
      <c r="Y29" s="103">
        <f t="shared" si="8"/>
        <v>0</v>
      </c>
      <c r="AA29" s="104">
        <f t="shared" si="6"/>
        <v>0</v>
      </c>
    </row>
    <row r="30" spans="2:27">
      <c r="B30" s="99" t="s">
        <v>75</v>
      </c>
      <c r="C30" s="100"/>
      <c r="D30" s="100"/>
      <c r="E30" s="100"/>
      <c r="F30" s="100"/>
      <c r="G30" s="100"/>
      <c r="H30" s="100"/>
      <c r="I30" s="100"/>
      <c r="J30" s="100"/>
      <c r="K30" s="100"/>
      <c r="M30" s="101">
        <f t="shared" si="7"/>
        <v>0</v>
      </c>
      <c r="O30" s="102">
        <v>3.64</v>
      </c>
      <c r="P30" s="99" t="str">
        <f t="shared" si="4"/>
        <v>Spelt T65/630</v>
      </c>
      <c r="Q30" s="103">
        <f t="shared" si="8"/>
        <v>0</v>
      </c>
      <c r="R30" s="103">
        <f t="shared" si="8"/>
        <v>0</v>
      </c>
      <c r="S30" s="103">
        <f t="shared" si="8"/>
        <v>0</v>
      </c>
      <c r="T30" s="103">
        <f t="shared" si="8"/>
        <v>0</v>
      </c>
      <c r="U30" s="103">
        <f t="shared" si="8"/>
        <v>0</v>
      </c>
      <c r="V30" s="103">
        <f t="shared" si="8"/>
        <v>0</v>
      </c>
      <c r="W30" s="103">
        <f t="shared" si="8"/>
        <v>0</v>
      </c>
      <c r="X30" s="103">
        <f t="shared" si="8"/>
        <v>0</v>
      </c>
      <c r="Y30" s="103">
        <f t="shared" si="8"/>
        <v>0</v>
      </c>
      <c r="AA30" s="104">
        <f t="shared" si="6"/>
        <v>0</v>
      </c>
    </row>
    <row r="31" spans="2:27">
      <c r="B31" s="99" t="s">
        <v>16</v>
      </c>
      <c r="C31" s="100"/>
      <c r="D31" s="100"/>
      <c r="E31" s="100"/>
      <c r="F31" s="100"/>
      <c r="G31" s="100"/>
      <c r="H31" s="100"/>
      <c r="I31" s="100"/>
      <c r="J31" s="100"/>
      <c r="K31" s="100"/>
      <c r="M31" s="101">
        <f t="shared" si="7"/>
        <v>0</v>
      </c>
      <c r="O31" s="102">
        <v>1.05</v>
      </c>
      <c r="P31" s="99" t="str">
        <f t="shared" si="4"/>
        <v>Suiker</v>
      </c>
      <c r="Q31" s="103">
        <f t="shared" si="8"/>
        <v>0</v>
      </c>
      <c r="R31" s="103">
        <f t="shared" si="8"/>
        <v>0</v>
      </c>
      <c r="S31" s="103">
        <f t="shared" si="8"/>
        <v>0</v>
      </c>
      <c r="T31" s="103">
        <f t="shared" si="8"/>
        <v>0</v>
      </c>
      <c r="U31" s="103">
        <f t="shared" si="8"/>
        <v>0</v>
      </c>
      <c r="V31" s="103">
        <f t="shared" si="8"/>
        <v>0</v>
      </c>
      <c r="W31" s="103">
        <f t="shared" si="8"/>
        <v>0</v>
      </c>
      <c r="X31" s="103">
        <f t="shared" si="8"/>
        <v>0</v>
      </c>
      <c r="Y31" s="103">
        <f t="shared" si="8"/>
        <v>0</v>
      </c>
      <c r="AA31" s="104">
        <f t="shared" si="6"/>
        <v>0</v>
      </c>
    </row>
    <row r="32" spans="2:27">
      <c r="B32" s="99" t="s">
        <v>94</v>
      </c>
      <c r="C32" s="100"/>
      <c r="D32" s="100"/>
      <c r="E32" s="100"/>
      <c r="F32" s="100"/>
      <c r="G32" s="100"/>
      <c r="H32" s="100"/>
      <c r="I32" s="100"/>
      <c r="J32" s="100"/>
      <c r="K32" s="100"/>
      <c r="M32" s="101">
        <f t="shared" si="7"/>
        <v>0</v>
      </c>
      <c r="O32" s="102">
        <v>1.36</v>
      </c>
      <c r="P32" s="99" t="str">
        <f t="shared" si="4"/>
        <v>Tarwe T150/volkoren</v>
      </c>
      <c r="Q32" s="103">
        <f t="shared" si="8"/>
        <v>0</v>
      </c>
      <c r="R32" s="103">
        <f t="shared" si="8"/>
        <v>0</v>
      </c>
      <c r="S32" s="103">
        <f t="shared" si="8"/>
        <v>0</v>
      </c>
      <c r="T32" s="103">
        <f t="shared" si="8"/>
        <v>0</v>
      </c>
      <c r="U32" s="103">
        <f t="shared" si="8"/>
        <v>0</v>
      </c>
      <c r="V32" s="103">
        <f t="shared" si="8"/>
        <v>0</v>
      </c>
      <c r="W32" s="103">
        <f t="shared" si="8"/>
        <v>0</v>
      </c>
      <c r="X32" s="103">
        <f t="shared" si="8"/>
        <v>0</v>
      </c>
      <c r="Y32" s="103">
        <f t="shared" si="8"/>
        <v>0</v>
      </c>
      <c r="AA32" s="104">
        <f t="shared" si="6"/>
        <v>0</v>
      </c>
    </row>
    <row r="33" spans="2:27">
      <c r="B33" s="99" t="s">
        <v>97</v>
      </c>
      <c r="C33" s="100"/>
      <c r="D33" s="100"/>
      <c r="E33" s="100"/>
      <c r="F33" s="100"/>
      <c r="G33" s="100"/>
      <c r="H33" s="100"/>
      <c r="I33" s="100"/>
      <c r="J33" s="100"/>
      <c r="K33" s="100"/>
      <c r="M33" s="101">
        <f t="shared" si="7"/>
        <v>0</v>
      </c>
      <c r="O33" s="102">
        <v>1.36</v>
      </c>
      <c r="P33" s="99" t="str">
        <f t="shared" si="4"/>
        <v>Tarwe T45/405</v>
      </c>
      <c r="Q33" s="103">
        <f t="shared" si="8"/>
        <v>0</v>
      </c>
      <c r="R33" s="103">
        <f t="shared" si="8"/>
        <v>0</v>
      </c>
      <c r="S33" s="103">
        <f t="shared" si="8"/>
        <v>0</v>
      </c>
      <c r="T33" s="103">
        <f t="shared" si="8"/>
        <v>0</v>
      </c>
      <c r="U33" s="103">
        <f t="shared" si="8"/>
        <v>0</v>
      </c>
      <c r="V33" s="103">
        <f t="shared" si="8"/>
        <v>0</v>
      </c>
      <c r="W33" s="103">
        <f t="shared" si="8"/>
        <v>0</v>
      </c>
      <c r="X33" s="103">
        <f t="shared" si="8"/>
        <v>0</v>
      </c>
      <c r="Y33" s="103">
        <f t="shared" si="8"/>
        <v>0</v>
      </c>
      <c r="AA33" s="104">
        <f t="shared" si="6"/>
        <v>0</v>
      </c>
    </row>
    <row r="34" spans="2:27">
      <c r="B34" s="99" t="s">
        <v>67</v>
      </c>
      <c r="C34" s="100"/>
      <c r="D34" s="100"/>
      <c r="E34" s="100"/>
      <c r="F34" s="100"/>
      <c r="G34" s="100"/>
      <c r="H34" s="100"/>
      <c r="I34" s="100"/>
      <c r="J34" s="100"/>
      <c r="K34" s="100"/>
      <c r="M34" s="101">
        <f t="shared" si="7"/>
        <v>0</v>
      </c>
      <c r="O34" s="102">
        <v>1.36</v>
      </c>
      <c r="P34" s="99" t="str">
        <f t="shared" si="4"/>
        <v>Tarwe T65/550</v>
      </c>
      <c r="Q34" s="103">
        <f t="shared" si="8"/>
        <v>0</v>
      </c>
      <c r="R34" s="103">
        <f t="shared" si="8"/>
        <v>0</v>
      </c>
      <c r="S34" s="103">
        <f t="shared" si="8"/>
        <v>0</v>
      </c>
      <c r="T34" s="103">
        <f t="shared" si="8"/>
        <v>0</v>
      </c>
      <c r="U34" s="103">
        <f t="shared" si="8"/>
        <v>0</v>
      </c>
      <c r="V34" s="103">
        <f t="shared" si="8"/>
        <v>0</v>
      </c>
      <c r="W34" s="103">
        <f t="shared" si="8"/>
        <v>0</v>
      </c>
      <c r="X34" s="103">
        <f t="shared" si="8"/>
        <v>0</v>
      </c>
      <c r="Y34" s="103">
        <f t="shared" si="8"/>
        <v>0</v>
      </c>
      <c r="AA34" s="104">
        <f t="shared" si="6"/>
        <v>0</v>
      </c>
    </row>
    <row r="35" spans="2:27">
      <c r="B35" s="99" t="s">
        <v>66</v>
      </c>
      <c r="C35" s="100"/>
      <c r="D35" s="100"/>
      <c r="E35" s="100"/>
      <c r="F35" s="100"/>
      <c r="G35" s="100"/>
      <c r="H35" s="100"/>
      <c r="I35" s="100"/>
      <c r="J35" s="100"/>
      <c r="K35" s="100"/>
      <c r="M35" s="101">
        <f t="shared" si="7"/>
        <v>0</v>
      </c>
      <c r="O35" s="102">
        <v>1.36</v>
      </c>
      <c r="P35" s="99" t="str">
        <f t="shared" si="4"/>
        <v>Tarwe T80/1050</v>
      </c>
      <c r="Q35" s="103">
        <f t="shared" si="8"/>
        <v>0</v>
      </c>
      <c r="R35" s="103">
        <f t="shared" si="8"/>
        <v>0</v>
      </c>
      <c r="S35" s="103">
        <f t="shared" si="8"/>
        <v>0</v>
      </c>
      <c r="T35" s="103">
        <f t="shared" si="8"/>
        <v>0</v>
      </c>
      <c r="U35" s="103">
        <f t="shared" si="8"/>
        <v>0</v>
      </c>
      <c r="V35" s="103">
        <f t="shared" si="8"/>
        <v>0</v>
      </c>
      <c r="W35" s="103">
        <f t="shared" si="8"/>
        <v>0</v>
      </c>
      <c r="X35" s="103">
        <f t="shared" si="8"/>
        <v>0</v>
      </c>
      <c r="Y35" s="103">
        <f t="shared" si="8"/>
        <v>0</v>
      </c>
      <c r="AA35" s="104">
        <f t="shared" si="6"/>
        <v>0</v>
      </c>
    </row>
    <row r="36" spans="2:27">
      <c r="B36" s="99" t="s">
        <v>92</v>
      </c>
      <c r="C36" s="100"/>
      <c r="D36" s="100"/>
      <c r="E36" s="100"/>
      <c r="F36" s="100"/>
      <c r="G36" s="100"/>
      <c r="H36" s="100"/>
      <c r="I36" s="100"/>
      <c r="J36" s="100"/>
      <c r="K36" s="100"/>
      <c r="M36" s="101">
        <f t="shared" si="7"/>
        <v>0</v>
      </c>
      <c r="O36" s="103">
        <v>1.36</v>
      </c>
      <c r="P36" s="99" t="str">
        <f t="shared" si="4"/>
        <v>Tarwe Tipo 0</v>
      </c>
      <c r="Q36" s="103">
        <f t="shared" si="8"/>
        <v>0</v>
      </c>
      <c r="R36" s="103">
        <f t="shared" si="8"/>
        <v>0</v>
      </c>
      <c r="S36" s="103">
        <f t="shared" si="8"/>
        <v>0</v>
      </c>
      <c r="T36" s="103">
        <f t="shared" si="8"/>
        <v>0</v>
      </c>
      <c r="U36" s="103">
        <f t="shared" si="8"/>
        <v>0</v>
      </c>
      <c r="V36" s="103">
        <f t="shared" si="8"/>
        <v>0</v>
      </c>
      <c r="W36" s="103">
        <f t="shared" si="8"/>
        <v>0</v>
      </c>
      <c r="X36" s="103">
        <f t="shared" si="8"/>
        <v>0</v>
      </c>
      <c r="Y36" s="103">
        <f t="shared" si="8"/>
        <v>0</v>
      </c>
      <c r="AA36" s="104">
        <f t="shared" si="6"/>
        <v>0</v>
      </c>
    </row>
    <row r="37" spans="2:27">
      <c r="B37" s="99" t="s">
        <v>93</v>
      </c>
      <c r="C37" s="100"/>
      <c r="D37" s="100"/>
      <c r="E37" s="100"/>
      <c r="F37" s="100"/>
      <c r="G37" s="100"/>
      <c r="H37" s="100"/>
      <c r="I37" s="100"/>
      <c r="J37" s="100"/>
      <c r="K37" s="100"/>
      <c r="M37" s="101">
        <f t="shared" si="7"/>
        <v>0</v>
      </c>
      <c r="O37" s="102">
        <v>1.36</v>
      </c>
      <c r="P37" s="99" t="str">
        <f t="shared" si="4"/>
        <v>Tarwe Tipo 00</v>
      </c>
      <c r="Q37" s="103">
        <f t="shared" si="8"/>
        <v>0</v>
      </c>
      <c r="R37" s="103">
        <f t="shared" si="8"/>
        <v>0</v>
      </c>
      <c r="S37" s="103">
        <f t="shared" si="8"/>
        <v>0</v>
      </c>
      <c r="T37" s="103">
        <f t="shared" si="8"/>
        <v>0</v>
      </c>
      <c r="U37" s="103">
        <f t="shared" si="8"/>
        <v>0</v>
      </c>
      <c r="V37" s="103">
        <f t="shared" si="8"/>
        <v>0</v>
      </c>
      <c r="W37" s="103">
        <f t="shared" si="8"/>
        <v>0</v>
      </c>
      <c r="X37" s="103">
        <f t="shared" si="8"/>
        <v>0</v>
      </c>
      <c r="Y37" s="103">
        <f t="shared" si="8"/>
        <v>0</v>
      </c>
      <c r="AA37" s="104">
        <f t="shared" si="6"/>
        <v>0</v>
      </c>
    </row>
    <row r="38" spans="2:27">
      <c r="B38" s="99" t="s">
        <v>52</v>
      </c>
      <c r="C38" s="100"/>
      <c r="D38" s="100"/>
      <c r="E38" s="100"/>
      <c r="F38" s="100"/>
      <c r="G38" s="100"/>
      <c r="H38" s="100"/>
      <c r="I38" s="100"/>
      <c r="J38" s="100"/>
      <c r="K38" s="100"/>
      <c r="M38" s="101">
        <f t="shared" si="7"/>
        <v>0</v>
      </c>
      <c r="O38" s="102">
        <v>0.1</v>
      </c>
      <c r="P38" s="99" t="str">
        <f t="shared" si="4"/>
        <v>Tijd/extra</v>
      </c>
      <c r="Q38" s="103">
        <f t="shared" si="8"/>
        <v>0</v>
      </c>
      <c r="R38" s="103">
        <f t="shared" si="8"/>
        <v>0</v>
      </c>
      <c r="S38" s="103">
        <f t="shared" si="8"/>
        <v>0</v>
      </c>
      <c r="T38" s="103">
        <f t="shared" si="8"/>
        <v>0</v>
      </c>
      <c r="U38" s="103">
        <f t="shared" si="8"/>
        <v>0</v>
      </c>
      <c r="V38" s="103">
        <f t="shared" si="8"/>
        <v>0</v>
      </c>
      <c r="W38" s="103">
        <f t="shared" si="8"/>
        <v>0</v>
      </c>
      <c r="X38" s="103">
        <f t="shared" si="8"/>
        <v>0</v>
      </c>
      <c r="Y38" s="103">
        <f t="shared" si="8"/>
        <v>0</v>
      </c>
      <c r="AA38" s="104">
        <f t="shared" si="6"/>
        <v>0</v>
      </c>
    </row>
    <row r="39" spans="2:27">
      <c r="B39" s="99" t="s">
        <v>95</v>
      </c>
      <c r="C39" s="100"/>
      <c r="D39" s="100"/>
      <c r="E39" s="100"/>
      <c r="F39" s="100"/>
      <c r="G39" s="100"/>
      <c r="H39" s="100"/>
      <c r="I39" s="100"/>
      <c r="J39" s="100"/>
      <c r="K39" s="100"/>
      <c r="M39" s="101">
        <f t="shared" si="7"/>
        <v>0</v>
      </c>
      <c r="O39" s="102">
        <v>73</v>
      </c>
      <c r="P39" s="99" t="str">
        <f t="shared" si="4"/>
        <v>Vanillepasta</v>
      </c>
      <c r="Q39" s="103">
        <f t="shared" si="8"/>
        <v>0</v>
      </c>
      <c r="R39" s="103">
        <f t="shared" si="8"/>
        <v>0</v>
      </c>
      <c r="S39" s="103">
        <f t="shared" si="8"/>
        <v>0</v>
      </c>
      <c r="T39" s="103">
        <f t="shared" si="8"/>
        <v>0</v>
      </c>
      <c r="U39" s="103">
        <f t="shared" si="8"/>
        <v>0</v>
      </c>
      <c r="V39" s="103">
        <f t="shared" si="8"/>
        <v>0</v>
      </c>
      <c r="W39" s="103">
        <f t="shared" si="8"/>
        <v>0</v>
      </c>
      <c r="X39" s="103">
        <f t="shared" si="8"/>
        <v>0</v>
      </c>
      <c r="Y39" s="103">
        <f t="shared" si="8"/>
        <v>0</v>
      </c>
      <c r="AA39" s="104">
        <f t="shared" si="6"/>
        <v>0</v>
      </c>
    </row>
    <row r="40" spans="2:27">
      <c r="B40" s="99" t="s">
        <v>19</v>
      </c>
      <c r="C40" s="100"/>
      <c r="D40" s="100"/>
      <c r="E40" s="100"/>
      <c r="F40" s="100"/>
      <c r="G40" s="100"/>
      <c r="H40" s="100"/>
      <c r="I40" s="100"/>
      <c r="J40" s="100"/>
      <c r="K40" s="100"/>
      <c r="M40" s="101">
        <f t="shared" si="7"/>
        <v>0</v>
      </c>
      <c r="O40" s="102">
        <v>17.95</v>
      </c>
      <c r="P40" s="99" t="str">
        <f t="shared" si="4"/>
        <v>Walnoten</v>
      </c>
      <c r="Q40" s="103">
        <f t="shared" si="8"/>
        <v>0</v>
      </c>
      <c r="R40" s="103">
        <f t="shared" si="8"/>
        <v>0</v>
      </c>
      <c r="S40" s="103">
        <f t="shared" si="8"/>
        <v>0</v>
      </c>
      <c r="T40" s="103">
        <f t="shared" si="8"/>
        <v>0</v>
      </c>
      <c r="U40" s="103">
        <f t="shared" si="8"/>
        <v>0</v>
      </c>
      <c r="V40" s="103">
        <f t="shared" si="8"/>
        <v>0</v>
      </c>
      <c r="W40" s="103">
        <f t="shared" si="8"/>
        <v>0</v>
      </c>
      <c r="X40" s="103">
        <f t="shared" si="8"/>
        <v>0</v>
      </c>
      <c r="Y40" s="103">
        <f t="shared" si="8"/>
        <v>0</v>
      </c>
      <c r="AA40" s="104">
        <f t="shared" si="6"/>
        <v>0</v>
      </c>
    </row>
    <row r="41" spans="2:27">
      <c r="B41" s="99" t="s">
        <v>35</v>
      </c>
      <c r="C41" s="100"/>
      <c r="D41" s="100"/>
      <c r="E41" s="100"/>
      <c r="F41" s="100"/>
      <c r="G41" s="100"/>
      <c r="H41" s="100"/>
      <c r="I41" s="100"/>
      <c r="J41" s="100"/>
      <c r="K41" s="100"/>
      <c r="M41" s="101">
        <f t="shared" si="7"/>
        <v>0</v>
      </c>
      <c r="O41" s="102">
        <v>0.1</v>
      </c>
      <c r="P41" s="99" t="str">
        <f t="shared" si="4"/>
        <v>Water</v>
      </c>
      <c r="Q41" s="103">
        <f t="shared" si="8"/>
        <v>0</v>
      </c>
      <c r="R41" s="103">
        <f t="shared" si="8"/>
        <v>0</v>
      </c>
      <c r="S41" s="103">
        <f t="shared" si="8"/>
        <v>0</v>
      </c>
      <c r="T41" s="103">
        <f t="shared" si="8"/>
        <v>0</v>
      </c>
      <c r="U41" s="103">
        <f t="shared" si="8"/>
        <v>0</v>
      </c>
      <c r="V41" s="103">
        <f t="shared" si="8"/>
        <v>0</v>
      </c>
      <c r="W41" s="103">
        <f t="shared" si="8"/>
        <v>0</v>
      </c>
      <c r="X41" s="103">
        <f t="shared" si="8"/>
        <v>0</v>
      </c>
      <c r="Y41" s="103">
        <f t="shared" si="8"/>
        <v>0</v>
      </c>
      <c r="AA41" s="104">
        <f t="shared" si="6"/>
        <v>0</v>
      </c>
    </row>
    <row r="42" spans="2:27">
      <c r="B42" s="99" t="s">
        <v>27</v>
      </c>
      <c r="C42" s="100"/>
      <c r="D42" s="100"/>
      <c r="E42" s="100"/>
      <c r="F42" s="100"/>
      <c r="G42" s="100"/>
      <c r="H42" s="100"/>
      <c r="I42" s="100"/>
      <c r="J42" s="100"/>
      <c r="K42" s="100"/>
      <c r="M42" s="101">
        <f t="shared" si="7"/>
        <v>0</v>
      </c>
      <c r="O42" s="102">
        <v>7.96</v>
      </c>
      <c r="P42" s="99" t="str">
        <f t="shared" si="4"/>
        <v>Weizenpuder</v>
      </c>
      <c r="Q42" s="103">
        <f t="shared" si="8"/>
        <v>0</v>
      </c>
      <c r="R42" s="103">
        <f t="shared" si="8"/>
        <v>0</v>
      </c>
      <c r="S42" s="103">
        <f t="shared" si="8"/>
        <v>0</v>
      </c>
      <c r="T42" s="103">
        <f t="shared" si="8"/>
        <v>0</v>
      </c>
      <c r="U42" s="103">
        <f t="shared" si="8"/>
        <v>0</v>
      </c>
      <c r="V42" s="103">
        <f t="shared" si="8"/>
        <v>0</v>
      </c>
      <c r="W42" s="103">
        <f t="shared" si="8"/>
        <v>0</v>
      </c>
      <c r="X42" s="103">
        <f t="shared" si="8"/>
        <v>0</v>
      </c>
      <c r="Y42" s="103">
        <f t="shared" si="8"/>
        <v>0</v>
      </c>
      <c r="AA42" s="104">
        <f t="shared" si="6"/>
        <v>0</v>
      </c>
    </row>
    <row r="43" spans="2:27">
      <c r="B43" s="99" t="s">
        <v>142</v>
      </c>
      <c r="C43" s="100"/>
      <c r="D43" s="100"/>
      <c r="E43" s="100"/>
      <c r="F43" s="100"/>
      <c r="G43" s="100"/>
      <c r="H43" s="100"/>
      <c r="I43" s="100"/>
      <c r="J43" s="100"/>
      <c r="K43" s="100"/>
      <c r="M43" s="101">
        <f t="shared" si="7"/>
        <v>0</v>
      </c>
      <c r="O43" s="102">
        <v>12.53</v>
      </c>
      <c r="P43" s="99" t="str">
        <f t="shared" si="4"/>
        <v>Zadenmelange</v>
      </c>
      <c r="Q43" s="103">
        <f t="shared" si="8"/>
        <v>0</v>
      </c>
      <c r="R43" s="103">
        <f t="shared" si="8"/>
        <v>0</v>
      </c>
      <c r="S43" s="103">
        <f t="shared" si="8"/>
        <v>0</v>
      </c>
      <c r="T43" s="103">
        <f t="shared" si="8"/>
        <v>0</v>
      </c>
      <c r="U43" s="103">
        <f t="shared" si="8"/>
        <v>0</v>
      </c>
      <c r="V43" s="103">
        <f t="shared" si="8"/>
        <v>0</v>
      </c>
      <c r="W43" s="103">
        <f t="shared" si="8"/>
        <v>0</v>
      </c>
      <c r="X43" s="103">
        <f t="shared" si="8"/>
        <v>0</v>
      </c>
      <c r="Y43" s="103">
        <f t="shared" si="8"/>
        <v>0</v>
      </c>
      <c r="AA43" s="104">
        <f t="shared" si="6"/>
        <v>0</v>
      </c>
    </row>
    <row r="44" spans="2:27">
      <c r="B44" s="99" t="s">
        <v>100</v>
      </c>
      <c r="C44" s="100"/>
      <c r="D44" s="100"/>
      <c r="E44" s="100"/>
      <c r="F44" s="100"/>
      <c r="G44" s="100"/>
      <c r="H44" s="100"/>
      <c r="I44" s="100"/>
      <c r="J44" s="100"/>
      <c r="K44" s="100"/>
      <c r="M44" s="101">
        <f t="shared" si="7"/>
        <v>0</v>
      </c>
      <c r="O44" s="102"/>
      <c r="P44" s="99" t="str">
        <f t="shared" si="4"/>
        <v>Zitronepasta</v>
      </c>
      <c r="Q44" s="103">
        <f t="shared" si="8"/>
        <v>0</v>
      </c>
      <c r="R44" s="103">
        <f t="shared" si="8"/>
        <v>0</v>
      </c>
      <c r="S44" s="103">
        <f t="shared" si="8"/>
        <v>0</v>
      </c>
      <c r="T44" s="103">
        <f t="shared" si="8"/>
        <v>0</v>
      </c>
      <c r="U44" s="103">
        <f t="shared" si="8"/>
        <v>0</v>
      </c>
      <c r="V44" s="103">
        <f t="shared" si="8"/>
        <v>0</v>
      </c>
      <c r="W44" s="103">
        <f t="shared" si="8"/>
        <v>0</v>
      </c>
      <c r="X44" s="103">
        <f t="shared" si="8"/>
        <v>0</v>
      </c>
      <c r="Y44" s="103">
        <f t="shared" si="8"/>
        <v>0</v>
      </c>
      <c r="AA44" s="104">
        <f t="shared" si="6"/>
        <v>0</v>
      </c>
    </row>
    <row r="45" spans="2:27">
      <c r="B45" s="99" t="s">
        <v>13</v>
      </c>
      <c r="C45" s="100"/>
      <c r="D45" s="100"/>
      <c r="E45" s="100"/>
      <c r="F45" s="100"/>
      <c r="G45" s="100"/>
      <c r="H45" s="100"/>
      <c r="I45" s="100"/>
      <c r="J45" s="100"/>
      <c r="K45" s="100"/>
      <c r="M45" s="101">
        <f t="shared" si="7"/>
        <v>0</v>
      </c>
      <c r="O45" s="102">
        <v>2.02</v>
      </c>
      <c r="P45" s="99" t="str">
        <f t="shared" si="4"/>
        <v>Zout</v>
      </c>
      <c r="Q45" s="103">
        <f t="shared" si="8"/>
        <v>0</v>
      </c>
      <c r="R45" s="103">
        <f t="shared" si="8"/>
        <v>0</v>
      </c>
      <c r="S45" s="103">
        <f t="shared" si="8"/>
        <v>0</v>
      </c>
      <c r="T45" s="103">
        <f t="shared" si="8"/>
        <v>0</v>
      </c>
      <c r="U45" s="103">
        <f t="shared" si="8"/>
        <v>0</v>
      </c>
      <c r="V45" s="103">
        <f t="shared" si="8"/>
        <v>0</v>
      </c>
      <c r="W45" s="103">
        <f t="shared" si="8"/>
        <v>0</v>
      </c>
      <c r="X45" s="103">
        <f t="shared" si="8"/>
        <v>0</v>
      </c>
      <c r="Y45" s="103">
        <f t="shared" si="8"/>
        <v>0</v>
      </c>
      <c r="AA45" s="104">
        <f t="shared" si="6"/>
        <v>0</v>
      </c>
    </row>
    <row r="46" spans="2:27">
      <c r="B46" s="99" t="s">
        <v>145</v>
      </c>
      <c r="C46" s="100"/>
      <c r="D46" s="100"/>
      <c r="E46" s="100"/>
      <c r="F46" s="100"/>
      <c r="G46" s="100"/>
      <c r="H46" s="100"/>
      <c r="I46" s="100"/>
      <c r="J46" s="100"/>
      <c r="K46" s="100"/>
      <c r="M46" s="101">
        <f t="shared" si="7"/>
        <v>0</v>
      </c>
      <c r="O46" s="102">
        <v>13.56</v>
      </c>
      <c r="P46" s="99" t="str">
        <f t="shared" si="4"/>
        <v>Bio mini tomaten</v>
      </c>
      <c r="Q46" s="103">
        <f t="shared" si="8"/>
        <v>0</v>
      </c>
      <c r="R46" s="103">
        <f t="shared" si="8"/>
        <v>0</v>
      </c>
      <c r="S46" s="103">
        <f t="shared" si="8"/>
        <v>0</v>
      </c>
      <c r="T46" s="103">
        <f t="shared" si="8"/>
        <v>0</v>
      </c>
      <c r="U46" s="103">
        <f t="shared" si="8"/>
        <v>0</v>
      </c>
      <c r="V46" s="103">
        <f t="shared" si="8"/>
        <v>0</v>
      </c>
      <c r="W46" s="103">
        <f t="shared" si="8"/>
        <v>0</v>
      </c>
      <c r="X46" s="103">
        <f t="shared" si="8"/>
        <v>0</v>
      </c>
      <c r="Y46" s="103">
        <f t="shared" si="8"/>
        <v>0</v>
      </c>
      <c r="AA46" s="104">
        <f t="shared" si="6"/>
        <v>0</v>
      </c>
    </row>
    <row r="47" spans="2:27">
      <c r="B47" s="86"/>
    </row>
    <row r="48" spans="2:27">
      <c r="B48" s="86"/>
    </row>
    <row r="49" spans="2:41">
      <c r="B49" s="86"/>
    </row>
    <row r="50" spans="2:41">
      <c r="B50" s="86"/>
    </row>
    <row r="51" spans="2:41">
      <c r="B51" s="86"/>
    </row>
    <row r="52" spans="2:41">
      <c r="B52" s="86"/>
    </row>
    <row r="53" spans="2:41">
      <c r="B53" s="86"/>
    </row>
    <row r="54" spans="2:41">
      <c r="B54" s="86"/>
    </row>
    <row r="55" spans="2:41">
      <c r="B55" s="86"/>
      <c r="AM55" s="89"/>
    </row>
    <row r="56" spans="2:41">
      <c r="B56" s="86"/>
      <c r="AL56" s="89"/>
      <c r="AM56" s="89"/>
    </row>
    <row r="57" spans="2:41">
      <c r="B57" s="86"/>
      <c r="AL57" s="89"/>
      <c r="AM57" s="89"/>
      <c r="AO57" s="94"/>
    </row>
    <row r="58" spans="2:41">
      <c r="B58" s="86"/>
      <c r="AM58" s="89"/>
    </row>
    <row r="59" spans="2:41">
      <c r="B59" s="86"/>
    </row>
    <row r="60" spans="2:41">
      <c r="B60" s="86"/>
    </row>
    <row r="61" spans="2:41">
      <c r="B61" s="86"/>
    </row>
    <row r="62" spans="2:41">
      <c r="B62" s="86"/>
    </row>
    <row r="63" spans="2:41">
      <c r="B63" s="86"/>
    </row>
    <row r="64" spans="2:41">
      <c r="B64" s="86"/>
    </row>
    <row r="65" spans="2:2">
      <c r="B65" s="86"/>
    </row>
    <row r="66" spans="2:2">
      <c r="B66" s="86"/>
    </row>
    <row r="67" spans="2:2">
      <c r="B67" s="86"/>
    </row>
    <row r="68" spans="2:2">
      <c r="B68" s="86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D737-7D80-FA4E-9E2F-D41406BAC4AA}">
  <sheetPr>
    <tabColor theme="2" tint="-9.9978637043366805E-2"/>
  </sheetPr>
  <dimension ref="A1:Q38"/>
  <sheetViews>
    <sheetView showGridLines="0" workbookViewId="0"/>
  </sheetViews>
  <sheetFormatPr baseColWidth="10" defaultRowHeight="16"/>
  <cols>
    <col min="1" max="1" width="13.5" style="57" bestFit="1" customWidth="1"/>
    <col min="2" max="2" width="12" style="57" bestFit="1" customWidth="1"/>
    <col min="3" max="3" width="8.1640625" style="57" bestFit="1" customWidth="1"/>
    <col min="4" max="4" width="8" style="57" bestFit="1" customWidth="1"/>
    <col min="5" max="5" width="14.83203125" style="57" bestFit="1" customWidth="1"/>
    <col min="6" max="6" width="21.1640625" style="57" bestFit="1" customWidth="1"/>
    <col min="7" max="7" width="6.5" style="57" bestFit="1" customWidth="1"/>
    <col min="8" max="8" width="14.83203125" style="57" bestFit="1" customWidth="1"/>
    <col min="9" max="9" width="26" style="57" bestFit="1" customWidth="1"/>
    <col min="10" max="10" width="10.6640625" style="57" bestFit="1" customWidth="1"/>
    <col min="11" max="11" width="11.5" style="57" bestFit="1" customWidth="1"/>
    <col min="12" max="12" width="10.6640625" style="57" bestFit="1" customWidth="1"/>
    <col min="13" max="13" width="6.33203125" style="57" bestFit="1" customWidth="1"/>
    <col min="14" max="14" width="7.5" style="57" bestFit="1" customWidth="1"/>
    <col min="15" max="15" width="20.1640625" style="57" bestFit="1" customWidth="1"/>
    <col min="16" max="16" width="9.83203125" style="57" customWidth="1"/>
    <col min="17" max="17" width="15.5" style="212" bestFit="1" customWidth="1"/>
    <col min="18" max="18" width="36.1640625" style="57" bestFit="1" customWidth="1"/>
    <col min="19" max="19" width="14.1640625" style="57" customWidth="1"/>
    <col min="20" max="20" width="12.6640625" style="57" customWidth="1"/>
    <col min="21" max="21" width="36.1640625" style="57" bestFit="1" customWidth="1"/>
    <col min="22" max="22" width="22.5" style="57" customWidth="1"/>
    <col min="23" max="23" width="14.5" style="57" customWidth="1"/>
    <col min="24" max="24" width="22.33203125" style="57" customWidth="1"/>
    <col min="25" max="25" width="22.1640625" style="57" customWidth="1"/>
    <col min="26" max="27" width="13.83203125" style="57" bestFit="1" customWidth="1"/>
    <col min="28" max="28" width="9.83203125" style="57" bestFit="1" customWidth="1"/>
    <col min="29" max="29" width="9" style="57" bestFit="1" customWidth="1"/>
    <col min="30" max="30" width="13.5" style="57" bestFit="1" customWidth="1"/>
    <col min="31" max="31" width="13" style="57" bestFit="1" customWidth="1"/>
    <col min="32" max="32" width="11.5" style="57" bestFit="1" customWidth="1"/>
    <col min="33" max="33" width="13.1640625" style="57" bestFit="1" customWidth="1"/>
    <col min="34" max="35" width="15.6640625" style="57" bestFit="1" customWidth="1"/>
    <col min="36" max="36" width="11.6640625" style="57" bestFit="1" customWidth="1"/>
    <col min="37" max="37" width="10.83203125" style="57"/>
    <col min="38" max="38" width="15.33203125" style="57" bestFit="1" customWidth="1"/>
    <col min="39" max="39" width="14.83203125" style="57" bestFit="1" customWidth="1"/>
    <col min="40" max="40" width="13.33203125" style="57" bestFit="1" customWidth="1"/>
    <col min="41" max="41" width="11.5" style="57" bestFit="1" customWidth="1"/>
    <col min="42" max="43" width="12" style="57" bestFit="1" customWidth="1"/>
    <col min="44" max="44" width="13.1640625" style="57" bestFit="1" customWidth="1"/>
    <col min="45" max="45" width="20" style="57" bestFit="1" customWidth="1"/>
    <col min="46" max="46" width="6.5" style="57" bestFit="1" customWidth="1"/>
    <col min="47" max="47" width="82.33203125" style="57" bestFit="1" customWidth="1"/>
    <col min="48" max="48" width="14.6640625" style="57" bestFit="1" customWidth="1"/>
    <col min="49" max="49" width="36" style="57" bestFit="1" customWidth="1"/>
    <col min="50" max="16384" width="10.83203125" style="57"/>
  </cols>
  <sheetData>
    <row r="1" spans="1:15">
      <c r="A1"/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spans="1:15">
      <c r="A2"/>
      <c r="B2" s="213"/>
      <c r="C2" s="213"/>
      <c r="D2"/>
      <c r="E2"/>
      <c r="F2"/>
      <c r="G2"/>
      <c r="H2"/>
      <c r="I2"/>
      <c r="J2"/>
      <c r="K2"/>
      <c r="L2"/>
      <c r="M2"/>
      <c r="N2"/>
      <c r="O2"/>
    </row>
    <row r="3" spans="1:15">
      <c r="A3"/>
      <c r="B3" s="213"/>
      <c r="C3" s="213"/>
      <c r="D3"/>
      <c r="E3"/>
      <c r="F3"/>
      <c r="G3"/>
      <c r="H3"/>
      <c r="I3"/>
      <c r="J3"/>
      <c r="K3"/>
      <c r="L3"/>
      <c r="M3"/>
      <c r="N3"/>
      <c r="O3"/>
    </row>
    <row r="4" spans="1:15">
      <c r="A4"/>
      <c r="B4" s="213"/>
      <c r="C4" s="213"/>
      <c r="D4"/>
      <c r="E4"/>
      <c r="F4"/>
      <c r="G4"/>
      <c r="H4"/>
      <c r="I4"/>
      <c r="J4"/>
      <c r="K4"/>
      <c r="L4"/>
      <c r="M4"/>
      <c r="N4"/>
      <c r="O4"/>
    </row>
    <row r="5" spans="1:15">
      <c r="A5"/>
      <c r="B5" s="213"/>
      <c r="C5" s="213"/>
      <c r="D5"/>
      <c r="E5"/>
      <c r="F5"/>
      <c r="G5"/>
      <c r="H5"/>
      <c r="I5"/>
      <c r="J5"/>
      <c r="K5"/>
      <c r="L5"/>
      <c r="M5"/>
      <c r="N5"/>
      <c r="O5"/>
    </row>
    <row r="6" spans="1:15">
      <c r="A6"/>
      <c r="B6" s="213"/>
      <c r="C6" s="213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 s="213"/>
      <c r="C7" s="213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 s="213"/>
      <c r="C8" s="213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 s="213"/>
      <c r="C9" s="213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 s="213"/>
      <c r="C10" s="213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 s="213"/>
      <c r="C11" s="213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 s="213"/>
      <c r="C12" s="213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 s="213"/>
      <c r="C13" s="2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 s="213"/>
      <c r="C14" s="213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 s="213"/>
      <c r="C15" s="213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 s="213"/>
      <c r="C16" s="213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 s="213"/>
      <c r="C17" s="213"/>
      <c r="D17"/>
      <c r="E17"/>
      <c r="F17"/>
      <c r="G17"/>
      <c r="H17"/>
      <c r="I17"/>
      <c r="J17"/>
      <c r="K17"/>
      <c r="L17"/>
      <c r="M17"/>
      <c r="N17"/>
      <c r="O17"/>
    </row>
    <row r="23" spans="1:15">
      <c r="F23"/>
    </row>
    <row r="24" spans="1:15">
      <c r="F24"/>
    </row>
    <row r="25" spans="1:15">
      <c r="F25"/>
    </row>
    <row r="26" spans="1:15">
      <c r="F26"/>
    </row>
    <row r="27" spans="1:15">
      <c r="F27"/>
    </row>
    <row r="28" spans="1:15">
      <c r="F28"/>
    </row>
    <row r="29" spans="1:15">
      <c r="F29"/>
    </row>
    <row r="30" spans="1:15">
      <c r="F30"/>
    </row>
    <row r="31" spans="1:15">
      <c r="F31"/>
    </row>
    <row r="32" spans="1:15">
      <c r="F32"/>
    </row>
    <row r="33" spans="6:6">
      <c r="F33"/>
    </row>
    <row r="34" spans="6:6">
      <c r="F34"/>
    </row>
    <row r="35" spans="6:6">
      <c r="F35"/>
    </row>
    <row r="36" spans="6:6">
      <c r="F36"/>
    </row>
    <row r="37" spans="6:6">
      <c r="F37"/>
    </row>
    <row r="38" spans="6:6">
      <c r="F3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FCE1-906E-7948-91AE-7F15A3B72FDB}">
  <sheetPr>
    <tabColor theme="2" tint="-9.9978637043366805E-2"/>
  </sheetPr>
  <dimension ref="B1:O40"/>
  <sheetViews>
    <sheetView showGridLines="0" workbookViewId="0"/>
  </sheetViews>
  <sheetFormatPr baseColWidth="10" defaultRowHeight="16"/>
  <cols>
    <col min="1" max="1" width="3.33203125" style="201" customWidth="1"/>
    <col min="2" max="2" width="22.5" style="201" customWidth="1"/>
    <col min="3" max="3" width="11" style="201" customWidth="1"/>
    <col min="4" max="8" width="18.33203125" style="201" customWidth="1"/>
    <col min="9" max="9" width="1.83203125" style="201" customWidth="1"/>
    <col min="10" max="10" width="8.6640625" style="201" bestFit="1" customWidth="1"/>
    <col min="11" max="15" width="18.33203125" style="201" customWidth="1"/>
    <col min="16" max="16384" width="10.83203125" style="201"/>
  </cols>
  <sheetData>
    <row r="1" spans="2:15">
      <c r="F1" s="23"/>
      <c r="H1" s="23"/>
      <c r="I1" s="23"/>
      <c r="J1" s="23"/>
      <c r="K1" s="23"/>
      <c r="L1" s="23"/>
      <c r="M1" s="23"/>
      <c r="N1" s="23"/>
      <c r="O1" s="23"/>
    </row>
    <row r="2" spans="2:15">
      <c r="B2" s="194"/>
      <c r="C2" s="194"/>
      <c r="D2" s="194" t="s">
        <v>284</v>
      </c>
      <c r="E2" s="194" t="s">
        <v>283</v>
      </c>
      <c r="F2" s="194" t="s">
        <v>285</v>
      </c>
      <c r="G2" s="183"/>
      <c r="H2" s="183"/>
      <c r="I2" s="183"/>
      <c r="J2" s="183"/>
      <c r="K2" s="183"/>
      <c r="L2" s="183"/>
      <c r="M2" s="183"/>
      <c r="N2" s="183"/>
      <c r="O2" s="183"/>
    </row>
    <row r="3" spans="2:15">
      <c r="B3" s="197" t="s">
        <v>61</v>
      </c>
      <c r="C3" s="198" t="s">
        <v>276</v>
      </c>
      <c r="D3" s="198">
        <f>F3*E3</f>
        <v>0</v>
      </c>
      <c r="E3" s="198">
        <v>170</v>
      </c>
      <c r="F3" s="198">
        <f>SUMIF(Overview!B3:B11,'Desem schema'!B3,Overview!C3:C11)</f>
        <v>0</v>
      </c>
      <c r="G3" s="202"/>
      <c r="H3" s="202"/>
      <c r="I3" s="202"/>
      <c r="J3" s="202"/>
      <c r="K3" s="202"/>
      <c r="L3" s="202"/>
      <c r="M3" s="202"/>
      <c r="N3" s="202"/>
      <c r="O3" s="202"/>
    </row>
    <row r="4" spans="2:15" s="166" customFormat="1">
      <c r="B4" s="197" t="s">
        <v>297</v>
      </c>
      <c r="C4" s="198" t="s">
        <v>277</v>
      </c>
      <c r="D4" s="198">
        <f>F4*E4</f>
        <v>0</v>
      </c>
      <c r="E4" s="198">
        <v>45</v>
      </c>
      <c r="F4" s="198">
        <f>SUMIF(Overview!B3:B11,'Desem schema'!B4,Overview!C3:C11)</f>
        <v>0</v>
      </c>
      <c r="G4" s="184"/>
      <c r="H4" s="184"/>
      <c r="I4" s="184"/>
      <c r="J4" s="184"/>
      <c r="K4" s="184"/>
      <c r="L4" s="184"/>
      <c r="M4" s="184"/>
      <c r="N4" s="184"/>
      <c r="O4" s="184"/>
    </row>
    <row r="5" spans="2:15">
      <c r="B5" s="197" t="s">
        <v>294</v>
      </c>
      <c r="C5" s="198" t="s">
        <v>276</v>
      </c>
      <c r="D5" s="198">
        <f>F5*E5</f>
        <v>0</v>
      </c>
      <c r="E5" s="198">
        <v>65</v>
      </c>
      <c r="F5" s="198">
        <f>SUMIF(Overview!B1:B9,'Desem schema'!B5,Overview!C1:C9)</f>
        <v>0</v>
      </c>
      <c r="G5" s="202"/>
      <c r="H5" s="202"/>
      <c r="I5" s="202"/>
      <c r="J5" s="202"/>
      <c r="K5" s="202"/>
      <c r="L5" s="202"/>
      <c r="M5" s="202"/>
      <c r="N5" s="202"/>
      <c r="O5" s="202"/>
    </row>
    <row r="6" spans="2:15">
      <c r="B6" s="197" t="s">
        <v>295</v>
      </c>
      <c r="C6" s="198" t="s">
        <v>276</v>
      </c>
      <c r="D6" s="198">
        <f>F6*E6</f>
        <v>0</v>
      </c>
      <c r="E6" s="198">
        <v>65</v>
      </c>
      <c r="F6" s="198">
        <f>SUMIF(Overview!B2:B10,'Desem schema'!B6,Overview!C2:C10)</f>
        <v>0</v>
      </c>
      <c r="G6" s="202"/>
      <c r="H6" s="202"/>
      <c r="I6" s="202"/>
      <c r="J6" s="202"/>
      <c r="K6" s="202"/>
      <c r="L6" s="202"/>
      <c r="M6" s="202"/>
      <c r="N6" s="202"/>
      <c r="O6" s="202"/>
    </row>
    <row r="7" spans="2:15">
      <c r="B7" s="197" t="s">
        <v>296</v>
      </c>
      <c r="C7" s="198" t="s">
        <v>276</v>
      </c>
      <c r="D7" s="198">
        <f>F7*E7</f>
        <v>0</v>
      </c>
      <c r="E7" s="198">
        <v>65</v>
      </c>
      <c r="F7" s="198">
        <f>SUMIF(Overview!B3:B11,'Desem schema'!B7,Overview!C3:C11)</f>
        <v>0</v>
      </c>
      <c r="G7" s="202"/>
      <c r="H7" s="202"/>
      <c r="I7" s="202"/>
      <c r="J7" s="202"/>
      <c r="K7" s="202"/>
      <c r="L7" s="202"/>
      <c r="M7" s="202"/>
      <c r="N7" s="202"/>
      <c r="O7" s="202"/>
    </row>
    <row r="8" spans="2:15">
      <c r="B8" s="197" t="s">
        <v>291</v>
      </c>
      <c r="C8" s="198" t="s">
        <v>276</v>
      </c>
      <c r="D8" s="198">
        <f>F8*E8</f>
        <v>0</v>
      </c>
      <c r="E8" s="198">
        <v>15</v>
      </c>
      <c r="F8" s="198">
        <f>SUMIF(Overview!B3:B11,'Desem schema'!B8,Overview!C3:C11)</f>
        <v>0</v>
      </c>
      <c r="G8" s="202"/>
      <c r="H8" s="202"/>
      <c r="I8" s="202"/>
      <c r="J8" s="202"/>
      <c r="K8" s="202"/>
      <c r="L8" s="202"/>
      <c r="M8" s="202"/>
      <c r="N8" s="202"/>
      <c r="O8" s="202"/>
    </row>
    <row r="9" spans="2:15">
      <c r="B9" s="197" t="s">
        <v>254</v>
      </c>
      <c r="C9" s="198" t="s">
        <v>276</v>
      </c>
      <c r="D9" s="198">
        <f>F9*E9</f>
        <v>0</v>
      </c>
      <c r="E9" s="198">
        <v>25</v>
      </c>
      <c r="F9" s="198">
        <f>SUMIF(Overview!B4:B12,'Desem schema'!B9,Overview!C4:C12)</f>
        <v>0</v>
      </c>
      <c r="G9" s="202"/>
      <c r="H9" s="202"/>
      <c r="I9" s="202"/>
      <c r="J9" s="202"/>
      <c r="K9" s="202"/>
      <c r="L9" s="202"/>
      <c r="M9" s="202"/>
      <c r="N9" s="202"/>
      <c r="O9" s="202"/>
    </row>
    <row r="10" spans="2:15">
      <c r="B10" s="23"/>
      <c r="C10" s="156"/>
      <c r="D10" s="156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</row>
    <row r="11" spans="2:15" s="166" customFormat="1">
      <c r="C11" s="194" t="s">
        <v>125</v>
      </c>
      <c r="D11" s="195"/>
      <c r="E11" s="184"/>
      <c r="G11" s="184"/>
      <c r="H11" s="184"/>
      <c r="I11" s="184"/>
      <c r="J11" s="184"/>
      <c r="K11" s="184"/>
      <c r="L11" s="184"/>
      <c r="M11" s="184"/>
      <c r="N11" s="184"/>
      <c r="O11" s="184"/>
    </row>
    <row r="12" spans="2:15">
      <c r="C12" s="196" t="s">
        <v>276</v>
      </c>
      <c r="D12" s="196">
        <f>SUMIF($C$3:$C$9,C12,$D$3:$D$9)</f>
        <v>0</v>
      </c>
      <c r="E12" s="183"/>
      <c r="G12" s="183"/>
      <c r="H12" s="183"/>
      <c r="I12" s="183"/>
      <c r="J12" s="183"/>
      <c r="K12" s="183"/>
      <c r="L12" s="183"/>
      <c r="M12" s="183"/>
      <c r="N12" s="183"/>
      <c r="O12" s="183"/>
    </row>
    <row r="13" spans="2:15">
      <c r="C13" s="196" t="s">
        <v>277</v>
      </c>
      <c r="D13" s="196">
        <f>SUMIF($C$3:$C$9,C13,$D$3:$D$9)</f>
        <v>0</v>
      </c>
      <c r="E13" s="202"/>
      <c r="G13" s="202"/>
      <c r="H13" s="202"/>
      <c r="I13" s="202"/>
      <c r="J13" s="202"/>
      <c r="K13" s="202"/>
      <c r="L13" s="202"/>
      <c r="M13" s="202"/>
      <c r="N13" s="202"/>
      <c r="O13" s="202"/>
    </row>
    <row r="14" spans="2:15">
      <c r="C14" s="28"/>
      <c r="D14" s="28"/>
      <c r="E14" s="202"/>
      <c r="G14" s="202"/>
      <c r="H14" s="202"/>
      <c r="I14" s="202"/>
      <c r="J14" s="202"/>
      <c r="K14" s="202"/>
      <c r="L14" s="202"/>
      <c r="M14" s="202"/>
      <c r="N14" s="202"/>
      <c r="O14" s="202"/>
    </row>
    <row r="15" spans="2:15">
      <c r="B15" s="23"/>
      <c r="C15" s="156"/>
      <c r="D15" s="156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</row>
    <row r="16" spans="2:15">
      <c r="B16" s="23"/>
      <c r="C16" s="156"/>
      <c r="D16" s="156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</row>
    <row r="17" spans="2:15">
      <c r="D17" s="203" t="s">
        <v>288</v>
      </c>
      <c r="E17" s="204" t="s">
        <v>286</v>
      </c>
      <c r="F17" s="204" t="s">
        <v>287</v>
      </c>
    </row>
    <row r="18" spans="2:15">
      <c r="B18" s="190" t="s">
        <v>281</v>
      </c>
      <c r="C18" s="199" t="s">
        <v>276</v>
      </c>
      <c r="D18" s="205"/>
      <c r="E18" s="205"/>
      <c r="F18" s="191">
        <f>G18</f>
        <v>0</v>
      </c>
      <c r="G18" s="191">
        <f>$D$12</f>
        <v>0</v>
      </c>
      <c r="H18" s="23" t="s">
        <v>280</v>
      </c>
      <c r="I18" s="23"/>
      <c r="J18" s="23" t="s">
        <v>290</v>
      </c>
      <c r="K18" s="23">
        <f>F18</f>
        <v>0</v>
      </c>
      <c r="M18" s="23"/>
      <c r="N18" s="23"/>
      <c r="O18" s="23"/>
    </row>
    <row r="19" spans="2:15">
      <c r="B19" s="197"/>
      <c r="C19" s="198"/>
      <c r="D19" s="197"/>
      <c r="E19" s="197"/>
      <c r="F19" s="206">
        <f>F18/4*2</f>
        <v>0</v>
      </c>
      <c r="G19" s="197" t="s">
        <v>136</v>
      </c>
      <c r="J19" s="201" t="s">
        <v>136</v>
      </c>
      <c r="K19" s="201">
        <f>(K18-K21)/3*2</f>
        <v>-40</v>
      </c>
    </row>
    <row r="20" spans="2:15">
      <c r="B20" s="197"/>
      <c r="C20" s="198"/>
      <c r="D20" s="197"/>
      <c r="E20" s="197"/>
      <c r="F20" s="206">
        <f>F18/4</f>
        <v>0</v>
      </c>
      <c r="G20" s="197" t="s">
        <v>137</v>
      </c>
      <c r="J20" s="201" t="s">
        <v>137</v>
      </c>
      <c r="K20" s="201">
        <f>(K18-K21)/3</f>
        <v>-20</v>
      </c>
    </row>
    <row r="21" spans="2:15">
      <c r="B21" s="197"/>
      <c r="C21" s="198"/>
      <c r="D21" s="197"/>
      <c r="E21" s="192">
        <f>F21</f>
        <v>0</v>
      </c>
      <c r="F21" s="193">
        <f>F18/4</f>
        <v>0</v>
      </c>
      <c r="G21" s="197" t="s">
        <v>279</v>
      </c>
      <c r="J21" s="201" t="s">
        <v>279</v>
      </c>
      <c r="K21" s="211">
        <v>60</v>
      </c>
    </row>
    <row r="22" spans="2:15">
      <c r="B22" s="197"/>
      <c r="C22" s="198"/>
      <c r="D22" s="197"/>
      <c r="E22" s="206">
        <f>E21/5*2</f>
        <v>0</v>
      </c>
      <c r="F22" s="197" t="s">
        <v>136</v>
      </c>
      <c r="G22" s="197"/>
    </row>
    <row r="23" spans="2:15">
      <c r="B23" s="197"/>
      <c r="C23" s="198"/>
      <c r="D23" s="197"/>
      <c r="E23" s="206">
        <f>E21/5*2</f>
        <v>0</v>
      </c>
      <c r="F23" s="197" t="s">
        <v>137</v>
      </c>
      <c r="G23" s="197"/>
    </row>
    <row r="24" spans="2:15">
      <c r="B24" s="197"/>
      <c r="C24" s="198"/>
      <c r="D24" s="192">
        <f>E24</f>
        <v>0</v>
      </c>
      <c r="E24" s="193">
        <f>E21/5</f>
        <v>0</v>
      </c>
      <c r="F24" s="197" t="s">
        <v>279</v>
      </c>
      <c r="G24" s="197"/>
    </row>
    <row r="25" spans="2:15">
      <c r="B25" s="197"/>
      <c r="C25" s="198"/>
      <c r="D25" s="206">
        <f>D24/5*2</f>
        <v>0</v>
      </c>
      <c r="E25" s="197" t="s">
        <v>136</v>
      </c>
      <c r="F25" s="197"/>
      <c r="G25" s="197"/>
    </row>
    <row r="26" spans="2:15">
      <c r="B26" s="197"/>
      <c r="C26" s="198"/>
      <c r="D26" s="206">
        <f>D24/5*2</f>
        <v>0</v>
      </c>
      <c r="E26" s="197" t="s">
        <v>137</v>
      </c>
      <c r="F26" s="197"/>
      <c r="G26" s="197"/>
    </row>
    <row r="27" spans="2:15">
      <c r="B27" s="197"/>
      <c r="C27" s="198"/>
      <c r="D27" s="206">
        <f>D24/5</f>
        <v>0</v>
      </c>
      <c r="E27" s="197" t="s">
        <v>279</v>
      </c>
      <c r="F27" s="197"/>
      <c r="G27" s="197"/>
    </row>
    <row r="28" spans="2:15">
      <c r="C28" s="156"/>
    </row>
    <row r="29" spans="2:15">
      <c r="C29" s="156"/>
    </row>
    <row r="30" spans="2:15">
      <c r="C30" s="156"/>
      <c r="D30" s="203" t="s">
        <v>288</v>
      </c>
      <c r="E30" s="204" t="s">
        <v>286</v>
      </c>
      <c r="F30" s="204" t="s">
        <v>287</v>
      </c>
    </row>
    <row r="31" spans="2:15">
      <c r="B31" s="185" t="s">
        <v>282</v>
      </c>
      <c r="C31" s="200" t="s">
        <v>277</v>
      </c>
      <c r="D31" s="185"/>
      <c r="E31" s="207"/>
      <c r="F31" s="186">
        <f>G31</f>
        <v>0</v>
      </c>
      <c r="G31" s="186">
        <f>$D$13</f>
        <v>0</v>
      </c>
      <c r="H31" s="23" t="s">
        <v>278</v>
      </c>
      <c r="I31" s="23"/>
      <c r="J31" s="23" t="s">
        <v>289</v>
      </c>
      <c r="K31" s="23">
        <f>F31</f>
        <v>0</v>
      </c>
      <c r="L31" s="23"/>
      <c r="M31" s="23"/>
      <c r="N31" s="23"/>
      <c r="O31" s="23"/>
    </row>
    <row r="32" spans="2:15">
      <c r="B32" s="187"/>
      <c r="C32" s="196"/>
      <c r="D32" s="187"/>
      <c r="E32" s="197"/>
      <c r="F32" s="206">
        <f>F31/5*2</f>
        <v>0</v>
      </c>
      <c r="G32" s="197" t="s">
        <v>136</v>
      </c>
      <c r="J32" s="201" t="s">
        <v>136</v>
      </c>
      <c r="K32" s="201">
        <f>(K31-K34)/4*2</f>
        <v>-40</v>
      </c>
    </row>
    <row r="33" spans="2:11">
      <c r="B33" s="197"/>
      <c r="C33" s="198"/>
      <c r="D33" s="197"/>
      <c r="E33" s="197"/>
      <c r="F33" s="206">
        <f>F31/5*2</f>
        <v>0</v>
      </c>
      <c r="G33" s="197" t="s">
        <v>137</v>
      </c>
      <c r="J33" s="201" t="s">
        <v>137</v>
      </c>
      <c r="K33" s="201">
        <f>(K31-K34)/4*2</f>
        <v>-40</v>
      </c>
    </row>
    <row r="34" spans="2:11">
      <c r="B34" s="197"/>
      <c r="C34" s="198"/>
      <c r="D34" s="197"/>
      <c r="E34" s="188">
        <f>F34</f>
        <v>0</v>
      </c>
      <c r="F34" s="189">
        <f>F31/5</f>
        <v>0</v>
      </c>
      <c r="G34" s="197" t="s">
        <v>279</v>
      </c>
      <c r="J34" s="201" t="s">
        <v>279</v>
      </c>
      <c r="K34" s="211">
        <v>80</v>
      </c>
    </row>
    <row r="35" spans="2:11">
      <c r="B35" s="197"/>
      <c r="C35" s="198"/>
      <c r="D35" s="197"/>
      <c r="E35" s="206">
        <f>E34/5*2</f>
        <v>0</v>
      </c>
      <c r="F35" s="197" t="s">
        <v>136</v>
      </c>
      <c r="G35" s="197"/>
    </row>
    <row r="36" spans="2:11">
      <c r="B36" s="197"/>
      <c r="C36" s="198"/>
      <c r="D36" s="197"/>
      <c r="E36" s="206">
        <f>E34/5*2</f>
        <v>0</v>
      </c>
      <c r="F36" s="197" t="s">
        <v>137</v>
      </c>
      <c r="G36" s="197"/>
    </row>
    <row r="37" spans="2:11">
      <c r="B37" s="208"/>
      <c r="C37" s="209"/>
      <c r="D37" s="188">
        <f>E37</f>
        <v>0</v>
      </c>
      <c r="E37" s="210">
        <f>E34/5</f>
        <v>0</v>
      </c>
      <c r="F37" s="208" t="s">
        <v>279</v>
      </c>
      <c r="G37" s="208"/>
    </row>
    <row r="38" spans="2:11">
      <c r="B38" s="198"/>
      <c r="C38" s="198"/>
      <c r="D38" s="206">
        <f>D37/5*2</f>
        <v>0</v>
      </c>
      <c r="E38" s="197" t="s">
        <v>136</v>
      </c>
      <c r="F38" s="197"/>
      <c r="G38" s="197"/>
    </row>
    <row r="39" spans="2:11">
      <c r="B39" s="198"/>
      <c r="C39" s="198"/>
      <c r="D39" s="206">
        <f>D37/5*2</f>
        <v>0</v>
      </c>
      <c r="E39" s="197" t="s">
        <v>137</v>
      </c>
      <c r="F39" s="197"/>
      <c r="G39" s="197"/>
    </row>
    <row r="40" spans="2:11">
      <c r="B40" s="198"/>
      <c r="C40" s="198"/>
      <c r="D40" s="206">
        <f>D37/5</f>
        <v>0</v>
      </c>
      <c r="E40" s="208" t="s">
        <v>279</v>
      </c>
      <c r="F40" s="197"/>
      <c r="G40" s="197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D27A-ACAE-C240-8853-CFFB1C2703EE}">
  <sheetPr codeName="Sheet4">
    <tabColor theme="2" tint="-9.9978637043366805E-2"/>
  </sheetPr>
  <dimension ref="B1:O36"/>
  <sheetViews>
    <sheetView showGridLines="0" workbookViewId="0">
      <selection activeCell="F45" sqref="F45"/>
    </sheetView>
  </sheetViews>
  <sheetFormatPr baseColWidth="10" defaultRowHeight="16"/>
  <cols>
    <col min="1" max="1" width="3.33203125" customWidth="1"/>
    <col min="2" max="2" width="19.1640625" bestFit="1" customWidth="1"/>
    <col min="3" max="3" width="4.1640625" bestFit="1" customWidth="1"/>
    <col min="4" max="4" width="13.1640625" bestFit="1" customWidth="1"/>
    <col min="5" max="5" width="25.83203125" bestFit="1" customWidth="1"/>
    <col min="6" max="6" width="16" bestFit="1" customWidth="1"/>
    <col min="7" max="7" width="23.33203125" bestFit="1" customWidth="1"/>
    <col min="8" max="8" width="16" bestFit="1" customWidth="1"/>
    <col min="9" max="9" width="22.5" bestFit="1" customWidth="1"/>
    <col min="10" max="10" width="6.1640625" bestFit="1" customWidth="1"/>
    <col min="11" max="11" width="8.33203125" bestFit="1" customWidth="1"/>
    <col min="12" max="12" width="6.1640625" bestFit="1" customWidth="1"/>
  </cols>
  <sheetData>
    <row r="1" spans="2:14" s="72" customFormat="1" ht="14">
      <c r="E1" s="73" t="s">
        <v>84</v>
      </c>
      <c r="F1" s="74" t="s">
        <v>77</v>
      </c>
      <c r="G1" s="73" t="s">
        <v>83</v>
      </c>
      <c r="H1" s="74" t="s">
        <v>77</v>
      </c>
      <c r="I1" s="75" t="s">
        <v>82</v>
      </c>
      <c r="J1" s="74"/>
      <c r="K1" s="76" t="s">
        <v>22</v>
      </c>
    </row>
    <row r="2" spans="2:14" s="80" customFormat="1" ht="14">
      <c r="E2" s="81" t="s">
        <v>88</v>
      </c>
      <c r="F2" s="82" t="s">
        <v>77</v>
      </c>
      <c r="G2" s="81" t="s">
        <v>87</v>
      </c>
      <c r="H2" s="82" t="s">
        <v>77</v>
      </c>
      <c r="I2" s="83" t="s">
        <v>85</v>
      </c>
      <c r="J2" s="82"/>
      <c r="K2" s="84" t="s">
        <v>86</v>
      </c>
    </row>
    <row r="3" spans="2:14">
      <c r="B3" s="60" t="s">
        <v>20</v>
      </c>
      <c r="C3" s="60"/>
      <c r="D3" s="60"/>
      <c r="E3" s="43"/>
      <c r="F3" s="45"/>
      <c r="G3" s="44"/>
      <c r="H3" s="45"/>
      <c r="I3" s="44"/>
      <c r="J3" s="45"/>
      <c r="K3" s="43"/>
      <c r="M3" s="23" t="s">
        <v>112</v>
      </c>
      <c r="N3" s="23" t="s">
        <v>113</v>
      </c>
    </row>
    <row r="4" spans="2:14">
      <c r="B4" s="61" t="str">
        <f>Overview!B3</f>
        <v>Brioche</v>
      </c>
      <c r="C4" s="62" t="s">
        <v>108</v>
      </c>
      <c r="D4" s="62" t="s">
        <v>111</v>
      </c>
      <c r="E4" s="59">
        <f t="shared" ref="E4:E10" si="0">H4</f>
        <v>0</v>
      </c>
      <c r="F4" s="47">
        <f>E4/4</f>
        <v>0</v>
      </c>
      <c r="G4" s="47">
        <f>I4</f>
        <v>0</v>
      </c>
      <c r="H4" s="47">
        <f>G4/4</f>
        <v>0</v>
      </c>
      <c r="I4" s="48">
        <f>M4*N4</f>
        <v>0</v>
      </c>
      <c r="J4" s="46"/>
      <c r="K4" s="27" t="s">
        <v>21</v>
      </c>
      <c r="M4" s="41">
        <f>IF(Overview!C3=0,0,Overview!C3+0.5)</f>
        <v>0</v>
      </c>
      <c r="N4" s="41">
        <v>15</v>
      </c>
    </row>
    <row r="5" spans="2:14" s="166" customFormat="1" hidden="1">
      <c r="B5" s="159" t="e">
        <f>Overview!#REF!</f>
        <v>#REF!</v>
      </c>
      <c r="C5" s="160" t="s">
        <v>108</v>
      </c>
      <c r="D5" s="160" t="s">
        <v>111</v>
      </c>
      <c r="E5" s="161" t="e">
        <f t="shared" ref="E5" si="1">H5</f>
        <v>#REF!</v>
      </c>
      <c r="F5" s="162" t="e">
        <f>E5/4</f>
        <v>#REF!</v>
      </c>
      <c r="G5" s="162" t="e">
        <f>I5</f>
        <v>#REF!</v>
      </c>
      <c r="H5" s="162" t="e">
        <f>G5/4</f>
        <v>#REF!</v>
      </c>
      <c r="I5" s="163" t="e">
        <f>M5*N5</f>
        <v>#REF!</v>
      </c>
      <c r="J5" s="164"/>
      <c r="K5" s="165" t="s">
        <v>21</v>
      </c>
      <c r="M5" s="167" t="e">
        <f>IF(Overview!#REF!=0,0,Overview!#REF!+5)</f>
        <v>#REF!</v>
      </c>
      <c r="N5" s="167">
        <v>10</v>
      </c>
    </row>
    <row r="6" spans="2:14">
      <c r="B6" s="61" t="str">
        <f>Overview!B9</f>
        <v>Focaccia Naturale</v>
      </c>
      <c r="C6" s="62" t="s">
        <v>108</v>
      </c>
      <c r="D6" s="62" t="s">
        <v>111</v>
      </c>
      <c r="E6" s="59">
        <f t="shared" si="0"/>
        <v>0</v>
      </c>
      <c r="F6" s="47">
        <f t="shared" ref="F6" si="2">E6/4</f>
        <v>0</v>
      </c>
      <c r="G6" s="47">
        <f t="shared" ref="G6:G7" si="3">I6</f>
        <v>0</v>
      </c>
      <c r="H6" s="47">
        <f t="shared" ref="F6:H7" si="4">G6/4</f>
        <v>0</v>
      </c>
      <c r="I6" s="48">
        <f t="shared" ref="I6:I7" si="5">M6*N6</f>
        <v>0</v>
      </c>
      <c r="J6" s="46"/>
      <c r="K6" s="27" t="s">
        <v>21</v>
      </c>
      <c r="M6" s="41">
        <f>IF(Overview!C4=0,0,Overview!C4+0.5)</f>
        <v>0</v>
      </c>
      <c r="N6" s="41">
        <v>65</v>
      </c>
    </row>
    <row r="7" spans="2:14">
      <c r="B7" s="61" t="str">
        <f>Overview!B4</f>
        <v>Stockdorf Sourdough</v>
      </c>
      <c r="C7" s="62" t="s">
        <v>108</v>
      </c>
      <c r="D7" s="62" t="s">
        <v>111</v>
      </c>
      <c r="E7" s="59">
        <f t="shared" si="0"/>
        <v>0</v>
      </c>
      <c r="F7" s="47">
        <f t="shared" si="4"/>
        <v>0</v>
      </c>
      <c r="G7" s="47">
        <f t="shared" si="3"/>
        <v>0</v>
      </c>
      <c r="H7" s="47">
        <f t="shared" si="4"/>
        <v>0</v>
      </c>
      <c r="I7" s="48">
        <f t="shared" si="5"/>
        <v>0</v>
      </c>
      <c r="J7" s="46"/>
      <c r="K7" s="27" t="s">
        <v>21</v>
      </c>
      <c r="M7" s="41">
        <f>IF(Overview!C5=0,0,Overview!C5+0.5)</f>
        <v>0</v>
      </c>
      <c r="N7" s="41">
        <v>65</v>
      </c>
    </row>
    <row r="8" spans="2:14">
      <c r="B8" s="61" t="str">
        <f>Overview!B10</f>
        <v>Focaccia Pomodorini</v>
      </c>
      <c r="C8" s="62" t="s">
        <v>109</v>
      </c>
      <c r="D8" s="63" t="s">
        <v>98</v>
      </c>
      <c r="E8" s="59">
        <f t="shared" si="0"/>
        <v>0</v>
      </c>
      <c r="F8" s="47">
        <f>E8/5</f>
        <v>0</v>
      </c>
      <c r="G8" s="47">
        <f t="shared" ref="G8:G9" si="6">I8</f>
        <v>0</v>
      </c>
      <c r="H8" s="47">
        <f>G8/5</f>
        <v>0</v>
      </c>
      <c r="I8" s="48">
        <f t="shared" ref="I8:I9" si="7">M8*N8</f>
        <v>0</v>
      </c>
      <c r="J8" s="46"/>
      <c r="K8" s="27" t="s">
        <v>21</v>
      </c>
      <c r="M8" s="41">
        <f>IF(Overview!C7=0,0,Overview!C7+0.5)</f>
        <v>0</v>
      </c>
      <c r="N8" s="41">
        <v>45</v>
      </c>
    </row>
    <row r="9" spans="2:14">
      <c r="B9" s="61" t="str">
        <f>Overview!B5</f>
        <v>Spelt Sourdough</v>
      </c>
      <c r="C9" s="62" t="s">
        <v>108</v>
      </c>
      <c r="D9" s="62" t="s">
        <v>110</v>
      </c>
      <c r="E9" s="59">
        <f t="shared" si="0"/>
        <v>0</v>
      </c>
      <c r="F9" s="47">
        <f>E9/4</f>
        <v>0</v>
      </c>
      <c r="G9" s="47">
        <f t="shared" si="6"/>
        <v>0</v>
      </c>
      <c r="H9" s="47">
        <f>G9/4</f>
        <v>0</v>
      </c>
      <c r="I9" s="48">
        <f t="shared" si="7"/>
        <v>0</v>
      </c>
      <c r="J9" s="46"/>
      <c r="K9" s="27" t="s">
        <v>21</v>
      </c>
      <c r="M9" s="41">
        <f>IF(Overview!C8=0,0,Overview!C8+0.5)</f>
        <v>0</v>
      </c>
      <c r="N9" s="41">
        <v>155</v>
      </c>
    </row>
    <row r="10" spans="2:14" s="166" customFormat="1" hidden="1">
      <c r="B10" s="159" t="e">
        <f>Overview!#REF!</f>
        <v>#REF!</v>
      </c>
      <c r="C10" s="160" t="s">
        <v>108</v>
      </c>
      <c r="D10" s="160" t="s">
        <v>110</v>
      </c>
      <c r="E10" s="161" t="e">
        <f t="shared" si="0"/>
        <v>#REF!</v>
      </c>
      <c r="F10" s="162" t="e">
        <f>E10/4</f>
        <v>#REF!</v>
      </c>
      <c r="G10" s="162" t="e">
        <f t="shared" ref="G10" si="8">I10</f>
        <v>#REF!</v>
      </c>
      <c r="H10" s="162" t="e">
        <f>G10/4</f>
        <v>#REF!</v>
      </c>
      <c r="I10" s="163" t="e">
        <f t="shared" ref="I10" si="9">M10*N10</f>
        <v>#REF!</v>
      </c>
      <c r="J10" s="164"/>
      <c r="K10" s="165" t="s">
        <v>21</v>
      </c>
      <c r="M10" s="167" t="e">
        <f>IF(Overview!#REF!=0,0,Overview!#REF!+0.5)</f>
        <v>#REF!</v>
      </c>
      <c r="N10" s="167">
        <v>110</v>
      </c>
    </row>
    <row r="11" spans="2:14">
      <c r="B11" s="61" t="str">
        <f>Overview!B7</f>
        <v>Ciabatta Olive &amp; Origano</v>
      </c>
      <c r="C11" s="62" t="s">
        <v>76</v>
      </c>
      <c r="D11" s="62" t="s">
        <v>76</v>
      </c>
      <c r="E11" s="59"/>
      <c r="F11" s="47"/>
      <c r="G11" s="47"/>
      <c r="H11" s="47"/>
      <c r="I11" s="48"/>
      <c r="J11" s="46"/>
      <c r="K11" s="27"/>
      <c r="M11" s="41"/>
    </row>
    <row r="12" spans="2:14">
      <c r="B12" s="61" t="str">
        <f>Overview!B8</f>
        <v>Ciabatta Naturale</v>
      </c>
      <c r="C12" s="62" t="s">
        <v>76</v>
      </c>
      <c r="D12" s="62" t="s">
        <v>76</v>
      </c>
      <c r="E12" s="59"/>
      <c r="F12" s="47"/>
      <c r="G12" s="47"/>
      <c r="H12" s="47"/>
      <c r="I12" s="48"/>
      <c r="J12" s="46"/>
      <c r="K12" s="27"/>
      <c r="M12" s="41"/>
    </row>
    <row r="13" spans="2:14">
      <c r="B13" s="61" t="str">
        <f>Overview!B11</f>
        <v>Baguette</v>
      </c>
      <c r="C13" s="62" t="s">
        <v>108</v>
      </c>
      <c r="D13" s="62" t="s">
        <v>111</v>
      </c>
      <c r="E13" s="59">
        <f t="shared" ref="E13" si="10">H13</f>
        <v>0</v>
      </c>
      <c r="F13" s="47">
        <f t="shared" ref="F13" si="11">E13/4</f>
        <v>0</v>
      </c>
      <c r="G13" s="47">
        <f t="shared" ref="G13" si="12">I13</f>
        <v>0</v>
      </c>
      <c r="H13" s="47">
        <f t="shared" ref="H13" si="13">G13/4</f>
        <v>0</v>
      </c>
      <c r="I13" s="48">
        <f t="shared" ref="I13" si="14">M13*N13</f>
        <v>0</v>
      </c>
      <c r="J13" s="46"/>
      <c r="K13" s="27" t="s">
        <v>21</v>
      </c>
      <c r="M13" s="41">
        <f>IF(Overview!C11=0,0,Overview!C11+1)</f>
        <v>0</v>
      </c>
      <c r="N13" s="41">
        <v>25</v>
      </c>
    </row>
    <row r="14" spans="2:14">
      <c r="B14" s="61" t="str">
        <f>Overview!B12</f>
        <v>Pizzaballen (10x 252gr)</v>
      </c>
      <c r="C14" s="62" t="s">
        <v>76</v>
      </c>
      <c r="D14" s="62" t="s">
        <v>76</v>
      </c>
      <c r="E14" s="59"/>
      <c r="F14" s="47"/>
      <c r="G14" s="47"/>
      <c r="H14" s="47"/>
      <c r="I14" s="48"/>
      <c r="J14" s="46"/>
      <c r="K14" s="27"/>
      <c r="M14" s="41"/>
      <c r="N14" s="41"/>
    </row>
    <row r="15" spans="2:14">
      <c r="B15" s="61" t="str">
        <f>Overview!B13</f>
        <v>Focaccia Fulvio (2x 30x40)</v>
      </c>
      <c r="C15" s="62" t="s">
        <v>76</v>
      </c>
      <c r="D15" s="62" t="s">
        <v>76</v>
      </c>
      <c r="E15" s="59"/>
      <c r="F15" s="47"/>
      <c r="G15" s="47"/>
      <c r="H15" s="47"/>
      <c r="I15" s="48"/>
      <c r="J15" s="46"/>
      <c r="K15" s="27"/>
      <c r="M15" s="41"/>
      <c r="N15" s="41"/>
    </row>
    <row r="16" spans="2:14">
      <c r="B16" s="61" t="str">
        <f>Overview!B14</f>
        <v>Brezen</v>
      </c>
      <c r="C16" s="62" t="s">
        <v>76</v>
      </c>
      <c r="D16" s="62" t="s">
        <v>76</v>
      </c>
      <c r="E16" s="59"/>
      <c r="F16" s="47"/>
      <c r="G16" s="47"/>
      <c r="H16" s="47"/>
      <c r="I16" s="48"/>
      <c r="J16" s="46"/>
      <c r="K16" s="27"/>
      <c r="M16" s="41"/>
      <c r="N16" s="41"/>
    </row>
    <row r="17" spans="2:15">
      <c r="B17" s="61" t="str">
        <f>Overview!B15</f>
        <v>Baby brioche</v>
      </c>
      <c r="C17" s="62" t="s">
        <v>108</v>
      </c>
      <c r="D17" s="62" t="s">
        <v>111</v>
      </c>
      <c r="E17" s="59">
        <f>H17</f>
        <v>0</v>
      </c>
      <c r="F17" s="47">
        <f>E17/4</f>
        <v>0</v>
      </c>
      <c r="G17" s="47">
        <f>I17</f>
        <v>0</v>
      </c>
      <c r="H17" s="47">
        <f>G17/4</f>
        <v>0</v>
      </c>
      <c r="I17" s="48">
        <f>M17*N17</f>
        <v>0</v>
      </c>
      <c r="J17" s="46"/>
      <c r="K17" s="27" t="s">
        <v>21</v>
      </c>
      <c r="M17" s="41">
        <f>IF(Overview!C15=0,0,Overview!C15+1)</f>
        <v>0</v>
      </c>
      <c r="N17" s="41">
        <v>15</v>
      </c>
    </row>
    <row r="18" spans="2:15" hidden="1">
      <c r="B18" s="61" t="str">
        <f>Overview!B16</f>
        <v>Bagels</v>
      </c>
      <c r="C18" s="62" t="s">
        <v>76</v>
      </c>
      <c r="D18" s="62" t="s">
        <v>76</v>
      </c>
      <c r="E18" s="59"/>
      <c r="F18" s="47"/>
      <c r="G18" s="47"/>
      <c r="H18" s="47"/>
      <c r="I18" s="48"/>
      <c r="J18" s="46"/>
      <c r="K18" s="27"/>
      <c r="M18" s="41"/>
      <c r="N18" s="41"/>
    </row>
    <row r="19" spans="2:15">
      <c r="B19" s="61" t="str">
        <f>Overview!B17</f>
        <v>Frühstückssemmel</v>
      </c>
      <c r="C19" s="62" t="s">
        <v>108</v>
      </c>
      <c r="D19" s="62" t="s">
        <v>111</v>
      </c>
      <c r="E19" s="59">
        <f t="shared" ref="E19" si="15">H19</f>
        <v>0</v>
      </c>
      <c r="F19" s="47">
        <f t="shared" ref="F19" si="16">E19/4</f>
        <v>0</v>
      </c>
      <c r="G19" s="47">
        <f t="shared" ref="G19" si="17">I19</f>
        <v>0</v>
      </c>
      <c r="H19" s="47">
        <f t="shared" ref="H19" si="18">G19/4</f>
        <v>0</v>
      </c>
      <c r="I19" s="48">
        <f>M19*N19</f>
        <v>0</v>
      </c>
      <c r="J19" s="46"/>
      <c r="K19" s="27"/>
      <c r="M19" s="41">
        <f>IF(Overview!C17=0,0,Overview!C17+1)</f>
        <v>0</v>
      </c>
      <c r="N19" s="41">
        <v>2</v>
      </c>
    </row>
    <row r="20" spans="2:15" hidden="1">
      <c r="B20" s="61" t="str">
        <f>Overview!B18</f>
        <v>Blechpizza (abends) (1 blech = 2x 252gr)</v>
      </c>
      <c r="C20" s="62" t="s">
        <v>76</v>
      </c>
      <c r="D20" s="62" t="s">
        <v>76</v>
      </c>
      <c r="E20" s="59"/>
      <c r="F20" s="47"/>
      <c r="G20" s="47"/>
      <c r="H20" s="47"/>
      <c r="I20" s="48"/>
      <c r="J20" s="46"/>
      <c r="K20" s="27"/>
      <c r="M20" s="41"/>
      <c r="N20" s="41"/>
    </row>
    <row r="23" spans="2:15">
      <c r="B23" s="23" t="s">
        <v>78</v>
      </c>
      <c r="C23" s="64" t="s">
        <v>108</v>
      </c>
      <c r="D23" s="64" t="s">
        <v>111</v>
      </c>
      <c r="E23" s="65">
        <f>H23</f>
        <v>0</v>
      </c>
      <c r="F23" s="65">
        <f>E23/4</f>
        <v>0</v>
      </c>
      <c r="G23" s="65">
        <f>I23</f>
        <v>0</v>
      </c>
      <c r="H23" s="65">
        <f>G23/4</f>
        <v>0</v>
      </c>
      <c r="I23" s="66">
        <f>SUM(I4,I6,I7,I9,I17,I19,I13)</f>
        <v>0</v>
      </c>
      <c r="J23" s="42"/>
    </row>
    <row r="24" spans="2:15">
      <c r="C24" s="64" t="s">
        <v>109</v>
      </c>
      <c r="D24" s="61" t="s">
        <v>98</v>
      </c>
      <c r="E24" s="65">
        <f>H24</f>
        <v>0</v>
      </c>
      <c r="F24" s="65">
        <f>E24/5</f>
        <v>0</v>
      </c>
      <c r="G24" s="65">
        <f t="shared" ref="G24" si="19">I24</f>
        <v>0</v>
      </c>
      <c r="H24" s="65">
        <f>G24/5</f>
        <v>0</v>
      </c>
      <c r="I24" s="66">
        <f>I8</f>
        <v>0</v>
      </c>
    </row>
    <row r="25" spans="2:15">
      <c r="G25" s="55"/>
    </row>
    <row r="26" spans="2:15">
      <c r="G26" s="55"/>
    </row>
    <row r="27" spans="2:15">
      <c r="G27" s="55"/>
    </row>
    <row r="28" spans="2:15">
      <c r="H28" s="26" t="s">
        <v>126</v>
      </c>
      <c r="I28" s="64" t="s">
        <v>125</v>
      </c>
      <c r="J28" s="64" t="s">
        <v>123</v>
      </c>
      <c r="K28" s="64" t="s">
        <v>124</v>
      </c>
      <c r="L28" s="64" t="s">
        <v>35</v>
      </c>
    </row>
    <row r="29" spans="2:15">
      <c r="C29" s="64" t="str">
        <f>C23</f>
        <v>SL</v>
      </c>
      <c r="D29" s="64" t="str">
        <f>D23</f>
        <v>T65/550</v>
      </c>
      <c r="E29" s="63"/>
      <c r="F29" s="63"/>
      <c r="G29" s="63"/>
      <c r="H29" s="69">
        <f>SUM(J29:L29)</f>
        <v>0</v>
      </c>
      <c r="I29" s="77">
        <f>G23</f>
        <v>0</v>
      </c>
      <c r="J29" s="70">
        <f>G23/4*2</f>
        <v>0</v>
      </c>
      <c r="K29" s="70">
        <f>G23/4</f>
        <v>0</v>
      </c>
      <c r="L29" s="70">
        <f>G23/4</f>
        <v>0</v>
      </c>
    </row>
    <row r="30" spans="2:15">
      <c r="C30" s="64" t="str">
        <f>C24</f>
        <v>LL</v>
      </c>
      <c r="D30" s="64" t="str">
        <f t="shared" ref="D30" si="20">D24</f>
        <v>Rogge T85/997</v>
      </c>
      <c r="E30" s="63"/>
      <c r="F30" s="63"/>
      <c r="G30" s="63"/>
      <c r="H30" s="69">
        <f>SUM(J30:L30)</f>
        <v>0</v>
      </c>
      <c r="I30" s="77">
        <f>G24</f>
        <v>0</v>
      </c>
      <c r="J30" s="70">
        <f>G24/5*2</f>
        <v>0</v>
      </c>
      <c r="K30" s="70">
        <f>G24/5</f>
        <v>0</v>
      </c>
      <c r="L30" s="70">
        <f>G24/5*2</f>
        <v>0</v>
      </c>
      <c r="N30" s="55">
        <f>((I29)-N32)/3*2</f>
        <v>-66.666666666666671</v>
      </c>
      <c r="O30" t="s">
        <v>136</v>
      </c>
    </row>
    <row r="31" spans="2:15">
      <c r="N31" s="55">
        <f>((I29)-N32)/3</f>
        <v>-33.333333333333336</v>
      </c>
      <c r="O31" t="s">
        <v>137</v>
      </c>
    </row>
    <row r="32" spans="2:15">
      <c r="N32">
        <v>100</v>
      </c>
      <c r="O32" t="s">
        <v>181</v>
      </c>
    </row>
    <row r="33" spans="2:14">
      <c r="B33" s="71" t="s">
        <v>132</v>
      </c>
      <c r="N33" s="55">
        <f>SUM(N30:N32)</f>
        <v>0</v>
      </c>
    </row>
    <row r="34" spans="2:14">
      <c r="B34" s="71" t="s">
        <v>133</v>
      </c>
      <c r="I34" s="55"/>
      <c r="J34" t="s">
        <v>137</v>
      </c>
    </row>
    <row r="35" spans="2:14">
      <c r="I35" s="55"/>
      <c r="J35" t="s">
        <v>136</v>
      </c>
      <c r="N35">
        <f>250/3</f>
        <v>83.333333333333329</v>
      </c>
    </row>
    <row r="36" spans="2:14">
      <c r="J36" t="s">
        <v>181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25AF-A7F0-D04D-891D-E9FFDC923E4F}">
  <sheetPr codeName="Sheet5"/>
  <dimension ref="A1:GB70"/>
  <sheetViews>
    <sheetView showGridLines="0"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K8" sqref="K8:Q12"/>
    </sheetView>
  </sheetViews>
  <sheetFormatPr baseColWidth="10" defaultRowHeight="14"/>
  <cols>
    <col min="1" max="1" width="34.5" style="3" bestFit="1" customWidth="1"/>
    <col min="2" max="2" width="3.33203125" style="3" bestFit="1" customWidth="1"/>
    <col min="3" max="3" width="7.83203125" style="3" bestFit="1" customWidth="1"/>
    <col min="4" max="4" width="9" style="3" bestFit="1" customWidth="1"/>
    <col min="5" max="5" width="7.6640625" style="3" customWidth="1"/>
    <col min="6" max="6" width="1.1640625" style="3" customWidth="1"/>
    <col min="7" max="137" width="5.83203125" style="5" customWidth="1"/>
    <col min="138" max="138" width="5.83203125" style="3" customWidth="1"/>
    <col min="139" max="175" width="5.83203125" style="5" customWidth="1"/>
    <col min="176" max="177" width="2" style="5" bestFit="1" customWidth="1"/>
    <col min="178" max="16384" width="10.83203125" style="3"/>
  </cols>
  <sheetData>
    <row r="1" spans="1:184">
      <c r="G1" s="5" t="s">
        <v>12</v>
      </c>
      <c r="H1" s="5" t="s">
        <v>12</v>
      </c>
      <c r="I1" s="5" t="s">
        <v>12</v>
      </c>
      <c r="J1" s="5" t="s">
        <v>12</v>
      </c>
      <c r="K1" s="5" t="s">
        <v>12</v>
      </c>
      <c r="L1" s="5" t="s">
        <v>12</v>
      </c>
      <c r="M1" s="5" t="s">
        <v>12</v>
      </c>
      <c r="N1" s="5" t="s">
        <v>12</v>
      </c>
      <c r="O1" s="5" t="s">
        <v>12</v>
      </c>
      <c r="P1" s="5" t="s">
        <v>12</v>
      </c>
      <c r="Q1" s="5" t="s">
        <v>12</v>
      </c>
      <c r="R1" s="5" t="s">
        <v>12</v>
      </c>
      <c r="S1" s="5" t="s">
        <v>12</v>
      </c>
      <c r="T1" s="5" t="s">
        <v>12</v>
      </c>
      <c r="U1" s="5" t="s">
        <v>12</v>
      </c>
      <c r="V1" s="5" t="s">
        <v>12</v>
      </c>
      <c r="W1" s="5" t="s">
        <v>12</v>
      </c>
      <c r="X1" s="5" t="s">
        <v>12</v>
      </c>
      <c r="Y1" s="5" t="s">
        <v>12</v>
      </c>
      <c r="Z1" s="5" t="s">
        <v>12</v>
      </c>
      <c r="AA1" s="5" t="s">
        <v>12</v>
      </c>
      <c r="AB1" s="5" t="s">
        <v>12</v>
      </c>
      <c r="AC1" s="5" t="s">
        <v>12</v>
      </c>
      <c r="AD1" s="5" t="s">
        <v>12</v>
      </c>
      <c r="AE1" s="5" t="s">
        <v>12</v>
      </c>
      <c r="AF1" s="5" t="s">
        <v>12</v>
      </c>
      <c r="AG1" s="5" t="s">
        <v>12</v>
      </c>
      <c r="AH1" s="5" t="s">
        <v>12</v>
      </c>
      <c r="AI1" s="5" t="s">
        <v>12</v>
      </c>
      <c r="AJ1" s="5" t="s">
        <v>12</v>
      </c>
      <c r="AK1" s="5" t="s">
        <v>12</v>
      </c>
      <c r="AM1" s="5" t="s">
        <v>11</v>
      </c>
      <c r="AN1" s="5" t="s">
        <v>11</v>
      </c>
      <c r="AO1" s="5" t="s">
        <v>11</v>
      </c>
      <c r="AP1" s="5" t="s">
        <v>11</v>
      </c>
      <c r="AQ1" s="5" t="s">
        <v>11</v>
      </c>
      <c r="AR1" s="5" t="s">
        <v>11</v>
      </c>
      <c r="AS1" s="5" t="s">
        <v>11</v>
      </c>
      <c r="AT1" s="5" t="s">
        <v>11</v>
      </c>
      <c r="AU1" s="5" t="s">
        <v>11</v>
      </c>
      <c r="AV1" s="5" t="s">
        <v>11</v>
      </c>
      <c r="AW1" s="5" t="s">
        <v>11</v>
      </c>
      <c r="AX1" s="5" t="s">
        <v>11</v>
      </c>
      <c r="AY1" s="5" t="s">
        <v>11</v>
      </c>
      <c r="AZ1" s="5" t="s">
        <v>11</v>
      </c>
      <c r="BA1" s="5" t="s">
        <v>11</v>
      </c>
      <c r="BB1" s="5" t="s">
        <v>11</v>
      </c>
      <c r="BC1" s="5" t="s">
        <v>11</v>
      </c>
      <c r="BD1" s="5" t="s">
        <v>11</v>
      </c>
      <c r="BE1" s="5" t="s">
        <v>11</v>
      </c>
      <c r="BF1" s="5" t="s">
        <v>11</v>
      </c>
      <c r="BG1" s="5" t="s">
        <v>11</v>
      </c>
      <c r="BH1" s="5" t="s">
        <v>11</v>
      </c>
      <c r="BI1" s="5" t="s">
        <v>11</v>
      </c>
      <c r="BJ1" s="5" t="s">
        <v>11</v>
      </c>
      <c r="BK1" s="5" t="s">
        <v>11</v>
      </c>
      <c r="BL1" s="5" t="s">
        <v>11</v>
      </c>
      <c r="BM1" s="5" t="s">
        <v>11</v>
      </c>
      <c r="BN1" s="5" t="s">
        <v>11</v>
      </c>
      <c r="BO1" s="5" t="s">
        <v>11</v>
      </c>
      <c r="BP1" s="5" t="s">
        <v>11</v>
      </c>
      <c r="BQ1" s="5" t="s">
        <v>11</v>
      </c>
      <c r="BR1" s="5" t="s">
        <v>11</v>
      </c>
      <c r="BS1" s="5" t="s">
        <v>11</v>
      </c>
      <c r="BT1" s="5" t="s">
        <v>11</v>
      </c>
      <c r="BU1" s="5" t="s">
        <v>11</v>
      </c>
      <c r="BV1" s="5" t="s">
        <v>11</v>
      </c>
      <c r="BW1" s="5" t="s">
        <v>11</v>
      </c>
      <c r="BX1" s="5" t="s">
        <v>11</v>
      </c>
      <c r="BY1" s="5" t="s">
        <v>11</v>
      </c>
      <c r="BZ1" s="5" t="s">
        <v>11</v>
      </c>
      <c r="CA1" s="5" t="s">
        <v>11</v>
      </c>
      <c r="CB1" s="5" t="s">
        <v>11</v>
      </c>
      <c r="CC1" s="5" t="s">
        <v>11</v>
      </c>
      <c r="CD1" s="5" t="s">
        <v>11</v>
      </c>
      <c r="CE1" s="5" t="s">
        <v>11</v>
      </c>
      <c r="CF1" s="5" t="s">
        <v>11</v>
      </c>
      <c r="CG1" s="5" t="s">
        <v>11</v>
      </c>
      <c r="CH1" s="5" t="s">
        <v>11</v>
      </c>
      <c r="CI1" s="5" t="s">
        <v>11</v>
      </c>
      <c r="CJ1" s="5" t="s">
        <v>11</v>
      </c>
      <c r="CK1" s="5" t="s">
        <v>11</v>
      </c>
      <c r="CL1" s="5" t="s">
        <v>11</v>
      </c>
      <c r="CM1" s="5" t="s">
        <v>11</v>
      </c>
      <c r="CN1" s="5" t="s">
        <v>11</v>
      </c>
      <c r="CO1" s="5" t="s">
        <v>11</v>
      </c>
      <c r="CP1" s="5" t="s">
        <v>11</v>
      </c>
      <c r="CQ1" s="5" t="s">
        <v>11</v>
      </c>
      <c r="CR1" s="5" t="s">
        <v>11</v>
      </c>
      <c r="CS1" s="5" t="s">
        <v>11</v>
      </c>
      <c r="CT1" s="5" t="s">
        <v>11</v>
      </c>
      <c r="CU1" s="5" t="s">
        <v>11</v>
      </c>
      <c r="CV1" s="5" t="s">
        <v>11</v>
      </c>
      <c r="CW1" s="5" t="s">
        <v>11</v>
      </c>
      <c r="CX1" s="5" t="s">
        <v>11</v>
      </c>
      <c r="CY1" s="5" t="s">
        <v>11</v>
      </c>
      <c r="CZ1" s="5" t="s">
        <v>11</v>
      </c>
      <c r="DA1" s="5" t="s">
        <v>11</v>
      </c>
      <c r="DB1" s="5" t="s">
        <v>11</v>
      </c>
      <c r="DC1" s="5" t="s">
        <v>11</v>
      </c>
      <c r="DD1" s="5" t="s">
        <v>11</v>
      </c>
      <c r="DE1" s="5" t="s">
        <v>11</v>
      </c>
      <c r="DF1" s="5" t="s">
        <v>11</v>
      </c>
      <c r="DG1" s="5" t="s">
        <v>11</v>
      </c>
      <c r="DH1" s="5" t="s">
        <v>11</v>
      </c>
      <c r="DI1" s="5" t="s">
        <v>11</v>
      </c>
      <c r="DJ1" s="5" t="s">
        <v>11</v>
      </c>
      <c r="DK1" s="5" t="s">
        <v>11</v>
      </c>
      <c r="DL1" s="5" t="s">
        <v>11</v>
      </c>
      <c r="DM1" s="5" t="s">
        <v>11</v>
      </c>
      <c r="DN1" s="5" t="s">
        <v>11</v>
      </c>
      <c r="DO1" s="5" t="s">
        <v>11</v>
      </c>
      <c r="DP1" s="5" t="s">
        <v>11</v>
      </c>
      <c r="DQ1" s="5" t="s">
        <v>11</v>
      </c>
      <c r="DR1" s="5" t="s">
        <v>11</v>
      </c>
      <c r="DS1" s="5" t="s">
        <v>11</v>
      </c>
      <c r="DT1" s="5" t="s">
        <v>11</v>
      </c>
      <c r="DU1" s="5" t="s">
        <v>11</v>
      </c>
      <c r="DV1" s="5" t="s">
        <v>11</v>
      </c>
      <c r="DW1" s="5" t="s">
        <v>11</v>
      </c>
      <c r="DX1" s="5" t="s">
        <v>11</v>
      </c>
      <c r="DY1" s="5" t="s">
        <v>11</v>
      </c>
      <c r="DZ1" s="5" t="s">
        <v>11</v>
      </c>
      <c r="EA1" s="5" t="s">
        <v>11</v>
      </c>
      <c r="EB1" s="5" t="s">
        <v>11</v>
      </c>
      <c r="EC1" s="5" t="s">
        <v>11</v>
      </c>
      <c r="ED1" s="5" t="s">
        <v>11</v>
      </c>
      <c r="EE1" s="5" t="s">
        <v>11</v>
      </c>
      <c r="EF1" s="5" t="s">
        <v>11</v>
      </c>
      <c r="EG1" s="5" t="s">
        <v>11</v>
      </c>
      <c r="EI1" s="5" t="s">
        <v>10</v>
      </c>
      <c r="EJ1" s="5" t="s">
        <v>10</v>
      </c>
      <c r="EK1" s="5" t="s">
        <v>10</v>
      </c>
      <c r="EL1" s="5" t="s">
        <v>10</v>
      </c>
      <c r="EM1" s="5" t="s">
        <v>10</v>
      </c>
      <c r="EN1" s="5" t="s">
        <v>10</v>
      </c>
      <c r="EO1" s="5" t="s">
        <v>10</v>
      </c>
      <c r="EP1" s="5" t="s">
        <v>10</v>
      </c>
      <c r="EQ1" s="5" t="s">
        <v>10</v>
      </c>
      <c r="ER1" s="5" t="s">
        <v>10</v>
      </c>
      <c r="ES1" s="5" t="s">
        <v>10</v>
      </c>
      <c r="ET1" s="5" t="s">
        <v>10</v>
      </c>
      <c r="EU1" s="5" t="s">
        <v>10</v>
      </c>
      <c r="EV1" s="5" t="s">
        <v>10</v>
      </c>
      <c r="EW1" s="5" t="s">
        <v>10</v>
      </c>
      <c r="EX1" s="5" t="s">
        <v>10</v>
      </c>
      <c r="EY1" s="5" t="s">
        <v>10</v>
      </c>
      <c r="EZ1" s="5" t="s">
        <v>10</v>
      </c>
      <c r="FA1" s="5" t="s">
        <v>10</v>
      </c>
      <c r="FB1" s="5" t="s">
        <v>10</v>
      </c>
      <c r="FC1" s="5" t="s">
        <v>10</v>
      </c>
      <c r="FD1" s="5" t="s">
        <v>10</v>
      </c>
      <c r="FE1" s="5" t="s">
        <v>10</v>
      </c>
      <c r="FF1" s="5" t="s">
        <v>10</v>
      </c>
      <c r="FG1" s="5" t="s">
        <v>10</v>
      </c>
      <c r="FH1" s="5" t="s">
        <v>10</v>
      </c>
      <c r="FI1" s="5" t="s">
        <v>10</v>
      </c>
      <c r="FJ1" s="5" t="s">
        <v>10</v>
      </c>
      <c r="FK1" s="5" t="s">
        <v>10</v>
      </c>
      <c r="FL1" s="5" t="s">
        <v>10</v>
      </c>
      <c r="FM1" s="5" t="s">
        <v>10</v>
      </c>
      <c r="FN1" s="5" t="s">
        <v>10</v>
      </c>
      <c r="FO1" s="5" t="s">
        <v>10</v>
      </c>
      <c r="FP1" s="5" t="s">
        <v>10</v>
      </c>
      <c r="FQ1" s="5" t="s">
        <v>10</v>
      </c>
      <c r="FR1" s="5" t="s">
        <v>10</v>
      </c>
      <c r="FS1" s="5" t="s">
        <v>10</v>
      </c>
    </row>
    <row r="2" spans="1:184">
      <c r="G2" s="6">
        <v>16</v>
      </c>
      <c r="H2" s="6">
        <f t="shared" ref="H2:AF2" si="0">G2+0.15</f>
        <v>16.149999999999999</v>
      </c>
      <c r="I2" s="6">
        <f t="shared" si="0"/>
        <v>16.299999999999997</v>
      </c>
      <c r="J2" s="6">
        <f t="shared" si="0"/>
        <v>16.449999999999996</v>
      </c>
      <c r="K2" s="6">
        <v>17</v>
      </c>
      <c r="L2" s="6">
        <f t="shared" si="0"/>
        <v>17.149999999999999</v>
      </c>
      <c r="M2" s="6">
        <f t="shared" si="0"/>
        <v>17.299999999999997</v>
      </c>
      <c r="N2" s="6">
        <f t="shared" si="0"/>
        <v>17.449999999999996</v>
      </c>
      <c r="O2" s="6">
        <v>18</v>
      </c>
      <c r="P2" s="6">
        <f t="shared" si="0"/>
        <v>18.149999999999999</v>
      </c>
      <c r="Q2" s="6">
        <f t="shared" si="0"/>
        <v>18.299999999999997</v>
      </c>
      <c r="R2" s="6">
        <f t="shared" si="0"/>
        <v>18.449999999999996</v>
      </c>
      <c r="S2" s="6">
        <v>19</v>
      </c>
      <c r="T2" s="6">
        <f t="shared" si="0"/>
        <v>19.149999999999999</v>
      </c>
      <c r="U2" s="6">
        <f t="shared" si="0"/>
        <v>19.299999999999997</v>
      </c>
      <c r="V2" s="6">
        <f t="shared" si="0"/>
        <v>19.449999999999996</v>
      </c>
      <c r="W2" s="6">
        <v>20</v>
      </c>
      <c r="X2" s="6">
        <f t="shared" si="0"/>
        <v>20.149999999999999</v>
      </c>
      <c r="Y2" s="6">
        <f t="shared" si="0"/>
        <v>20.299999999999997</v>
      </c>
      <c r="Z2" s="6">
        <f t="shared" si="0"/>
        <v>20.449999999999996</v>
      </c>
      <c r="AA2" s="6">
        <v>21</v>
      </c>
      <c r="AB2" s="6">
        <f t="shared" si="0"/>
        <v>21.15</v>
      </c>
      <c r="AC2" s="6">
        <f t="shared" si="0"/>
        <v>21.299999999999997</v>
      </c>
      <c r="AD2" s="6">
        <f t="shared" si="0"/>
        <v>21.449999999999996</v>
      </c>
      <c r="AE2" s="6">
        <v>22</v>
      </c>
      <c r="AF2" s="6">
        <f t="shared" si="0"/>
        <v>22.15</v>
      </c>
      <c r="AG2" s="6">
        <f t="shared" ref="AG2:CR2" si="1">AF2+0.15</f>
        <v>22.299999999999997</v>
      </c>
      <c r="AH2" s="6">
        <f t="shared" si="1"/>
        <v>22.449999999999996</v>
      </c>
      <c r="AI2" s="6">
        <v>23</v>
      </c>
      <c r="AJ2" s="6">
        <f t="shared" si="1"/>
        <v>23.15</v>
      </c>
      <c r="AK2" s="6">
        <f t="shared" si="1"/>
        <v>23.299999999999997</v>
      </c>
      <c r="AL2" s="6">
        <f t="shared" si="1"/>
        <v>23.449999999999996</v>
      </c>
      <c r="AM2" s="6">
        <v>24</v>
      </c>
      <c r="AN2" s="6">
        <f t="shared" si="1"/>
        <v>24.15</v>
      </c>
      <c r="AO2" s="6">
        <f t="shared" si="1"/>
        <v>24.299999999999997</v>
      </c>
      <c r="AP2" s="6">
        <f t="shared" si="1"/>
        <v>24.449999999999996</v>
      </c>
      <c r="AQ2" s="6">
        <v>1</v>
      </c>
      <c r="AR2" s="6">
        <f t="shared" si="1"/>
        <v>1.1499999999999999</v>
      </c>
      <c r="AS2" s="6">
        <f t="shared" si="1"/>
        <v>1.2999999999999998</v>
      </c>
      <c r="AT2" s="6">
        <f t="shared" si="1"/>
        <v>1.4499999999999997</v>
      </c>
      <c r="AU2" s="6">
        <v>2</v>
      </c>
      <c r="AV2" s="6">
        <f t="shared" si="1"/>
        <v>2.15</v>
      </c>
      <c r="AW2" s="6">
        <f t="shared" si="1"/>
        <v>2.2999999999999998</v>
      </c>
      <c r="AX2" s="6">
        <f t="shared" si="1"/>
        <v>2.4499999999999997</v>
      </c>
      <c r="AY2" s="6">
        <v>3</v>
      </c>
      <c r="AZ2" s="6">
        <f t="shared" si="1"/>
        <v>3.15</v>
      </c>
      <c r="BA2" s="6">
        <f t="shared" si="1"/>
        <v>3.3</v>
      </c>
      <c r="BB2" s="6">
        <f t="shared" si="1"/>
        <v>3.4499999999999997</v>
      </c>
      <c r="BC2" s="6">
        <v>4</v>
      </c>
      <c r="BD2" s="6">
        <f t="shared" si="1"/>
        <v>4.1500000000000004</v>
      </c>
      <c r="BE2" s="6">
        <f t="shared" si="1"/>
        <v>4.3000000000000007</v>
      </c>
      <c r="BF2" s="6">
        <f t="shared" si="1"/>
        <v>4.4500000000000011</v>
      </c>
      <c r="BG2" s="6">
        <v>5</v>
      </c>
      <c r="BH2" s="6">
        <f t="shared" si="1"/>
        <v>5.15</v>
      </c>
      <c r="BI2" s="6">
        <f t="shared" si="1"/>
        <v>5.3000000000000007</v>
      </c>
      <c r="BJ2" s="6">
        <f t="shared" si="1"/>
        <v>5.4500000000000011</v>
      </c>
      <c r="BK2" s="6">
        <v>6</v>
      </c>
      <c r="BL2" s="6">
        <f t="shared" si="1"/>
        <v>6.15</v>
      </c>
      <c r="BM2" s="6">
        <f t="shared" si="1"/>
        <v>6.3000000000000007</v>
      </c>
      <c r="BN2" s="6">
        <f t="shared" si="1"/>
        <v>6.4500000000000011</v>
      </c>
      <c r="BO2" s="6">
        <v>7</v>
      </c>
      <c r="BP2" s="6">
        <f t="shared" si="1"/>
        <v>7.15</v>
      </c>
      <c r="BQ2" s="6">
        <f t="shared" si="1"/>
        <v>7.3000000000000007</v>
      </c>
      <c r="BR2" s="6">
        <f t="shared" si="1"/>
        <v>7.4500000000000011</v>
      </c>
      <c r="BS2" s="6">
        <v>8</v>
      </c>
      <c r="BT2" s="6">
        <f t="shared" si="1"/>
        <v>8.15</v>
      </c>
      <c r="BU2" s="6">
        <f t="shared" si="1"/>
        <v>8.3000000000000007</v>
      </c>
      <c r="BV2" s="6">
        <f t="shared" si="1"/>
        <v>8.4500000000000011</v>
      </c>
      <c r="BW2" s="6">
        <v>9</v>
      </c>
      <c r="BX2" s="6">
        <f t="shared" si="1"/>
        <v>9.15</v>
      </c>
      <c r="BY2" s="6">
        <f t="shared" si="1"/>
        <v>9.3000000000000007</v>
      </c>
      <c r="BZ2" s="6">
        <f t="shared" si="1"/>
        <v>9.4500000000000011</v>
      </c>
      <c r="CA2" s="6">
        <v>10</v>
      </c>
      <c r="CB2" s="6">
        <f t="shared" si="1"/>
        <v>10.15</v>
      </c>
      <c r="CC2" s="6">
        <f t="shared" si="1"/>
        <v>10.3</v>
      </c>
      <c r="CD2" s="6">
        <f t="shared" si="1"/>
        <v>10.450000000000001</v>
      </c>
      <c r="CE2" s="6">
        <v>11</v>
      </c>
      <c r="CF2" s="6">
        <f t="shared" si="1"/>
        <v>11.15</v>
      </c>
      <c r="CG2" s="6">
        <f t="shared" si="1"/>
        <v>11.3</v>
      </c>
      <c r="CH2" s="6">
        <f t="shared" si="1"/>
        <v>11.450000000000001</v>
      </c>
      <c r="CI2" s="6">
        <v>12</v>
      </c>
      <c r="CJ2" s="6">
        <f t="shared" si="1"/>
        <v>12.15</v>
      </c>
      <c r="CK2" s="6">
        <f t="shared" si="1"/>
        <v>12.3</v>
      </c>
      <c r="CL2" s="6">
        <f t="shared" si="1"/>
        <v>12.450000000000001</v>
      </c>
      <c r="CM2" s="6">
        <v>13</v>
      </c>
      <c r="CN2" s="6">
        <f t="shared" si="1"/>
        <v>13.15</v>
      </c>
      <c r="CO2" s="6">
        <f t="shared" si="1"/>
        <v>13.3</v>
      </c>
      <c r="CP2" s="6">
        <f t="shared" si="1"/>
        <v>13.450000000000001</v>
      </c>
      <c r="CQ2" s="6">
        <v>14</v>
      </c>
      <c r="CR2" s="6">
        <f t="shared" si="1"/>
        <v>14.15</v>
      </c>
      <c r="CS2" s="6">
        <f t="shared" ref="CS2:FD2" si="2">CR2+0.15</f>
        <v>14.3</v>
      </c>
      <c r="CT2" s="6">
        <f t="shared" si="2"/>
        <v>14.450000000000001</v>
      </c>
      <c r="CU2" s="6">
        <v>15</v>
      </c>
      <c r="CV2" s="6">
        <f t="shared" si="2"/>
        <v>15.15</v>
      </c>
      <c r="CW2" s="6">
        <f t="shared" si="2"/>
        <v>15.3</v>
      </c>
      <c r="CX2" s="6">
        <f t="shared" si="2"/>
        <v>15.450000000000001</v>
      </c>
      <c r="CY2" s="6">
        <v>16</v>
      </c>
      <c r="CZ2" s="6">
        <f t="shared" si="2"/>
        <v>16.149999999999999</v>
      </c>
      <c r="DA2" s="6">
        <f t="shared" si="2"/>
        <v>16.299999999999997</v>
      </c>
      <c r="DB2" s="6">
        <f t="shared" si="2"/>
        <v>16.449999999999996</v>
      </c>
      <c r="DC2" s="6">
        <v>17</v>
      </c>
      <c r="DD2" s="6">
        <f t="shared" si="2"/>
        <v>17.149999999999999</v>
      </c>
      <c r="DE2" s="6">
        <f t="shared" si="2"/>
        <v>17.299999999999997</v>
      </c>
      <c r="DF2" s="6">
        <f t="shared" si="2"/>
        <v>17.449999999999996</v>
      </c>
      <c r="DG2" s="6">
        <v>18</v>
      </c>
      <c r="DH2" s="6">
        <f t="shared" si="2"/>
        <v>18.149999999999999</v>
      </c>
      <c r="DI2" s="6">
        <f t="shared" si="2"/>
        <v>18.299999999999997</v>
      </c>
      <c r="DJ2" s="6">
        <f t="shared" si="2"/>
        <v>18.449999999999996</v>
      </c>
      <c r="DK2" s="6">
        <v>19</v>
      </c>
      <c r="DL2" s="6">
        <f t="shared" si="2"/>
        <v>19.149999999999999</v>
      </c>
      <c r="DM2" s="6">
        <f t="shared" si="2"/>
        <v>19.299999999999997</v>
      </c>
      <c r="DN2" s="6">
        <f t="shared" si="2"/>
        <v>19.449999999999996</v>
      </c>
      <c r="DO2" s="6">
        <v>20</v>
      </c>
      <c r="DP2" s="6">
        <f t="shared" si="2"/>
        <v>20.149999999999999</v>
      </c>
      <c r="DQ2" s="6">
        <f t="shared" si="2"/>
        <v>20.299999999999997</v>
      </c>
      <c r="DR2" s="6">
        <f t="shared" si="2"/>
        <v>20.449999999999996</v>
      </c>
      <c r="DS2" s="6">
        <v>21</v>
      </c>
      <c r="DT2" s="6">
        <f t="shared" si="2"/>
        <v>21.15</v>
      </c>
      <c r="DU2" s="6">
        <f t="shared" si="2"/>
        <v>21.299999999999997</v>
      </c>
      <c r="DV2" s="6">
        <f t="shared" si="2"/>
        <v>21.449999999999996</v>
      </c>
      <c r="DW2" s="6">
        <v>22</v>
      </c>
      <c r="DX2" s="6">
        <f t="shared" si="2"/>
        <v>22.15</v>
      </c>
      <c r="DY2" s="6">
        <f t="shared" si="2"/>
        <v>22.299999999999997</v>
      </c>
      <c r="DZ2" s="6">
        <f t="shared" si="2"/>
        <v>22.449999999999996</v>
      </c>
      <c r="EA2" s="6">
        <v>23</v>
      </c>
      <c r="EB2" s="6">
        <f t="shared" si="2"/>
        <v>23.15</v>
      </c>
      <c r="EC2" s="6">
        <f t="shared" si="2"/>
        <v>23.299999999999997</v>
      </c>
      <c r="ED2" s="6">
        <f t="shared" si="2"/>
        <v>23.449999999999996</v>
      </c>
      <c r="EE2" s="6">
        <v>24</v>
      </c>
      <c r="EF2" s="6">
        <f t="shared" si="2"/>
        <v>24.15</v>
      </c>
      <c r="EG2" s="6">
        <f t="shared" si="2"/>
        <v>24.299999999999997</v>
      </c>
      <c r="EH2" s="7">
        <f t="shared" si="2"/>
        <v>24.449999999999996</v>
      </c>
      <c r="EI2" s="6">
        <v>1</v>
      </c>
      <c r="EJ2" s="6">
        <f t="shared" si="2"/>
        <v>1.1499999999999999</v>
      </c>
      <c r="EK2" s="6">
        <f t="shared" si="2"/>
        <v>1.2999999999999998</v>
      </c>
      <c r="EL2" s="6">
        <f t="shared" si="2"/>
        <v>1.4499999999999997</v>
      </c>
      <c r="EM2" s="6">
        <v>2</v>
      </c>
      <c r="EN2" s="6">
        <f t="shared" si="2"/>
        <v>2.15</v>
      </c>
      <c r="EO2" s="6">
        <f t="shared" si="2"/>
        <v>2.2999999999999998</v>
      </c>
      <c r="EP2" s="6">
        <f t="shared" si="2"/>
        <v>2.4499999999999997</v>
      </c>
      <c r="EQ2" s="6">
        <v>3</v>
      </c>
      <c r="ER2" s="6">
        <f t="shared" si="2"/>
        <v>3.15</v>
      </c>
      <c r="ES2" s="6">
        <f t="shared" si="2"/>
        <v>3.3</v>
      </c>
      <c r="ET2" s="6">
        <f t="shared" si="2"/>
        <v>3.4499999999999997</v>
      </c>
      <c r="EU2" s="6">
        <v>4</v>
      </c>
      <c r="EV2" s="6">
        <f t="shared" si="2"/>
        <v>4.1500000000000004</v>
      </c>
      <c r="EW2" s="6">
        <f t="shared" si="2"/>
        <v>4.3000000000000007</v>
      </c>
      <c r="EX2" s="6">
        <f t="shared" si="2"/>
        <v>4.4500000000000011</v>
      </c>
      <c r="EY2" s="6">
        <v>5</v>
      </c>
      <c r="EZ2" s="6">
        <f t="shared" si="2"/>
        <v>5.15</v>
      </c>
      <c r="FA2" s="6">
        <f t="shared" si="2"/>
        <v>5.3000000000000007</v>
      </c>
      <c r="FB2" s="6">
        <f t="shared" si="2"/>
        <v>5.4500000000000011</v>
      </c>
      <c r="FC2" s="6">
        <v>6</v>
      </c>
      <c r="FD2" s="6">
        <f t="shared" si="2"/>
        <v>6.15</v>
      </c>
      <c r="FE2" s="6">
        <f t="shared" ref="FE2:FR2" si="3">FD2+0.15</f>
        <v>6.3000000000000007</v>
      </c>
      <c r="FF2" s="6">
        <f t="shared" si="3"/>
        <v>6.4500000000000011</v>
      </c>
      <c r="FG2" s="6">
        <v>7</v>
      </c>
      <c r="FH2" s="6">
        <f t="shared" si="3"/>
        <v>7.15</v>
      </c>
      <c r="FI2" s="6">
        <f t="shared" si="3"/>
        <v>7.3000000000000007</v>
      </c>
      <c r="FJ2" s="6">
        <f t="shared" si="3"/>
        <v>7.4500000000000011</v>
      </c>
      <c r="FK2" s="6">
        <v>8</v>
      </c>
      <c r="FL2" s="6">
        <f t="shared" si="3"/>
        <v>8.15</v>
      </c>
      <c r="FM2" s="6">
        <f t="shared" si="3"/>
        <v>8.3000000000000007</v>
      </c>
      <c r="FN2" s="6">
        <f t="shared" si="3"/>
        <v>8.4500000000000011</v>
      </c>
      <c r="FO2" s="6">
        <v>9</v>
      </c>
      <c r="FP2" s="6">
        <f t="shared" si="3"/>
        <v>9.15</v>
      </c>
      <c r="FQ2" s="6">
        <f t="shared" si="3"/>
        <v>9.3000000000000007</v>
      </c>
      <c r="FR2" s="6">
        <f t="shared" si="3"/>
        <v>9.4500000000000011</v>
      </c>
      <c r="FS2" s="6">
        <v>10</v>
      </c>
    </row>
    <row r="3" spans="1:184">
      <c r="A3" s="8" t="s">
        <v>0</v>
      </c>
      <c r="B3" s="9"/>
      <c r="C3" s="10">
        <v>45982</v>
      </c>
      <c r="D3" s="9"/>
      <c r="E3" s="2"/>
    </row>
    <row r="4" spans="1:184">
      <c r="A4" s="11"/>
      <c r="B4" s="11"/>
      <c r="C4" s="12" t="s">
        <v>1</v>
      </c>
      <c r="D4" s="12" t="s">
        <v>2</v>
      </c>
      <c r="FT4" s="6"/>
      <c r="FU4" s="6"/>
      <c r="FV4" s="7"/>
      <c r="FW4" s="7"/>
      <c r="FX4" s="7"/>
      <c r="FY4" s="7"/>
      <c r="FZ4" s="7"/>
      <c r="GA4" s="7"/>
      <c r="GB4" s="7"/>
    </row>
    <row r="5" spans="1:184">
      <c r="A5" s="13"/>
      <c r="B5" s="14" t="str" cm="1">
        <f t="array" ref="B5">_xlfn.SWITCH(WEEKDAY(($C$3+C5),2),1,"MO",2,"DI",3,"MI",4,"DO",5,"FR",6,"SA",7,"SO")</f>
        <v>FR</v>
      </c>
      <c r="C5" s="15">
        <v>0.79166666666666663</v>
      </c>
      <c r="D5" s="16">
        <v>1.0416666666666666E-2</v>
      </c>
      <c r="S5" s="37"/>
    </row>
    <row r="6" spans="1:184">
      <c r="A6" s="13"/>
      <c r="B6" s="14" t="str" cm="1">
        <f t="array" ref="B6">_xlfn.SWITCH(WEEKDAY(($C$3+C6),2),1,"MO",2,"DI",3,"MI",4,"DO",5,"FR",6,"SA",7,"SO")</f>
        <v>FR</v>
      </c>
      <c r="C6" s="16">
        <f t="shared" ref="C6:C7" si="4">C5+D5</f>
        <v>0.80208333333333326</v>
      </c>
      <c r="D6" s="17">
        <v>0.83333333333333337</v>
      </c>
      <c r="E6" s="4" t="s">
        <v>3</v>
      </c>
      <c r="T6" s="37"/>
    </row>
    <row r="7" spans="1:184">
      <c r="A7" s="13"/>
      <c r="B7" s="14" t="str" cm="1">
        <f t="array" ref="B7">_xlfn.SWITCH(WEEKDAY(($C$3+C7),2),1,"MO",2,"DI",3,"MI",4,"DO",5,"FR",6,"SA",7,"SO")</f>
        <v>SA</v>
      </c>
      <c r="C7" s="16">
        <f t="shared" si="4"/>
        <v>1.6354166666666665</v>
      </c>
      <c r="D7" s="16">
        <v>1.3888888888888888E-2</v>
      </c>
      <c r="CQ7" s="3"/>
      <c r="CR7" s="3"/>
      <c r="CS7" s="3"/>
      <c r="CT7" s="3"/>
      <c r="CV7" s="37"/>
    </row>
    <row r="8" spans="1:184">
      <c r="A8" s="13"/>
      <c r="B8" s="14" t="str" cm="1">
        <f t="array" ref="B8">_xlfn.SWITCH(WEEKDAY(($C$3+C8),2),1,"MO",2,"DI",3,"MI",4,"DO",5,"FR",6,"SA",7,"SO")</f>
        <v>SA</v>
      </c>
      <c r="C8" s="16">
        <f>C7+D7</f>
        <v>1.6493055555555554</v>
      </c>
      <c r="D8" s="16">
        <v>3.4722222222222224E-2</v>
      </c>
      <c r="CQ8" s="3"/>
      <c r="CR8" s="3"/>
      <c r="CS8" s="3"/>
      <c r="CT8" s="3"/>
      <c r="CW8" s="37"/>
    </row>
    <row r="9" spans="1:184">
      <c r="A9" s="13"/>
      <c r="B9" s="14" t="str" cm="1">
        <f t="array" ref="B9">_xlfn.SWITCH(WEEKDAY(($C$3+C9),2),1,"MO",2,"DI",3,"MI",4,"DO",5,"FR",6,"SA",7,"SO")</f>
        <v>SA</v>
      </c>
      <c r="C9" s="16">
        <f>C8+D8</f>
        <v>1.6840277777777777</v>
      </c>
      <c r="D9" s="16">
        <v>3.125E-2</v>
      </c>
      <c r="M9" s="39"/>
      <c r="CQ9" s="3"/>
      <c r="CR9" s="3"/>
      <c r="CS9" s="3"/>
      <c r="CT9" s="3"/>
      <c r="CZ9" s="37"/>
    </row>
    <row r="10" spans="1:184">
      <c r="A10" s="13"/>
      <c r="B10" s="14" t="str" cm="1">
        <f t="array" ref="B10">_xlfn.SWITCH(WEEKDAY(($C$3+C10),2),1,"MO",2,"DI",3,"MI",4,"DO",5,"FR",6,"SA",7,"SO")</f>
        <v>SA</v>
      </c>
      <c r="C10" s="16">
        <f>C9+D9</f>
        <v>1.7152777777777777</v>
      </c>
      <c r="D10" s="16">
        <v>2.0833333333333332E-2</v>
      </c>
      <c r="M10" s="39"/>
      <c r="CQ10" s="3"/>
      <c r="CR10" s="3"/>
      <c r="CS10" s="3"/>
      <c r="CT10" s="3"/>
      <c r="DC10" s="38"/>
      <c r="DD10" s="38"/>
      <c r="DE10" s="38"/>
    </row>
    <row r="11" spans="1:184">
      <c r="A11" s="18" t="s">
        <v>4</v>
      </c>
      <c r="B11" s="19" t="str" cm="1">
        <f t="array" ref="B11">_xlfn.SWITCH(WEEKDAY(($C$3+C11),2),1,"MO",2,"DI",3,"MI",4,"DO",5,"FR",6,"SA",7,"SO")</f>
        <v>SA</v>
      </c>
      <c r="C11" s="20">
        <f>C10+D10</f>
        <v>1.7361111111111109</v>
      </c>
      <c r="D11" s="19"/>
      <c r="M11" s="39"/>
      <c r="CQ11" s="3"/>
      <c r="CR11" s="3"/>
      <c r="CS11" s="3"/>
      <c r="CT11" s="3"/>
      <c r="DC11" s="38"/>
      <c r="DD11" s="38"/>
      <c r="DE11" s="38"/>
    </row>
    <row r="13" spans="1:184">
      <c r="A13" s="8" t="s">
        <v>0</v>
      </c>
      <c r="B13" s="9"/>
      <c r="C13" s="10">
        <v>45982</v>
      </c>
      <c r="D13" s="9"/>
      <c r="E13" s="2"/>
    </row>
    <row r="14" spans="1:184">
      <c r="A14" s="11"/>
      <c r="B14" s="11"/>
      <c r="C14" s="12" t="s">
        <v>1</v>
      </c>
      <c r="D14" s="12" t="s">
        <v>2</v>
      </c>
    </row>
    <row r="15" spans="1:184">
      <c r="A15" s="13"/>
      <c r="B15" s="14" t="str" cm="1">
        <f t="array" ref="B15">_xlfn.SWITCH(WEEKDAY(($C$13+C15),2),1,"MO",2,"DI",3,"MI",4,"DO",5,"FR",6,"SA",7,"SO")</f>
        <v>FR</v>
      </c>
      <c r="C15" s="15">
        <v>0.83333333333333337</v>
      </c>
      <c r="D15" s="16">
        <v>1.0416666666666666E-2</v>
      </c>
      <c r="W15" s="37"/>
    </row>
    <row r="16" spans="1:184">
      <c r="A16" s="13"/>
      <c r="B16" s="14" t="str" cm="1">
        <f t="array" ref="B16">_xlfn.SWITCH(WEEKDAY(($C$13+C16),2),1,"MO",2,"DI",3,"MI",4,"DO",5,"FR",6,"SA",7,"SO")</f>
        <v>FR</v>
      </c>
      <c r="C16" s="16">
        <f t="shared" ref="C16:C19" si="5">C15+D15</f>
        <v>0.84375</v>
      </c>
      <c r="D16" s="16">
        <v>3.125E-2</v>
      </c>
      <c r="E16" s="4"/>
      <c r="X16" s="37"/>
    </row>
    <row r="17" spans="1:157">
      <c r="A17" s="13"/>
      <c r="B17" s="14" t="str" cm="1">
        <f t="array" ref="B17">_xlfn.SWITCH(WEEKDAY(($C$13+C17),2),1,"MO",2,"DI",3,"MI",4,"DO",5,"FR",6,"SA",7,"SO")</f>
        <v>FR</v>
      </c>
      <c r="C17" s="16">
        <f t="shared" si="5"/>
        <v>0.875</v>
      </c>
      <c r="D17" s="16">
        <v>3.125E-2</v>
      </c>
      <c r="AA17" s="37"/>
    </row>
    <row r="18" spans="1:157">
      <c r="A18" s="13"/>
      <c r="B18" s="14" t="str" cm="1">
        <f t="array" ref="B18">_xlfn.SWITCH(WEEKDAY(($C$13+C18),2),1,"MO",2,"DI",3,"MI",4,"DO",5,"FR",6,"SA",7,"SO")</f>
        <v>FR</v>
      </c>
      <c r="C18" s="16">
        <f t="shared" si="5"/>
        <v>0.90625</v>
      </c>
      <c r="D18" s="16">
        <v>6.25E-2</v>
      </c>
      <c r="AD18" s="37"/>
    </row>
    <row r="19" spans="1:157">
      <c r="A19" s="13"/>
      <c r="B19" s="14" t="str" cm="1">
        <f t="array" ref="B19">_xlfn.SWITCH(WEEKDAY(($C$13+C19),2),1,"MO",2,"DI",3,"MI",4,"DO",5,"FR",6,"SA",7,"SO")</f>
        <v>FR</v>
      </c>
      <c r="C19" s="16">
        <f t="shared" si="5"/>
        <v>0.96875</v>
      </c>
      <c r="D19" s="16">
        <v>1.7361111111111112E-2</v>
      </c>
      <c r="AJ19" s="37"/>
    </row>
    <row r="20" spans="1:157">
      <c r="A20" s="13"/>
      <c r="B20" s="14" t="str" cm="1">
        <f t="array" ref="B20">_xlfn.SWITCH(WEEKDAY(($C$13+C20),2),1,"MO",2,"DI",3,"MI",4,"DO",5,"FR",6,"SA",7,"SO")</f>
        <v>FR</v>
      </c>
      <c r="C20" s="16">
        <f>C19+D19</f>
        <v>0.98611111111111116</v>
      </c>
      <c r="D20" s="17">
        <v>0.83333333333333337</v>
      </c>
      <c r="E20" s="4" t="s">
        <v>3</v>
      </c>
      <c r="AK20" s="37"/>
    </row>
    <row r="21" spans="1:157">
      <c r="A21" s="13"/>
      <c r="B21" s="14" t="str" cm="1">
        <f t="array" ref="B21">_xlfn.SWITCH(WEEKDAY(($C$13+C21),2),1,"MO",2,"DI",3,"MI",4,"DO",5,"FR",6,"SA",7,"SO")</f>
        <v>SA</v>
      </c>
      <c r="C21" s="16">
        <f>C20+D20</f>
        <v>1.8194444444444446</v>
      </c>
      <c r="D21" s="16">
        <v>3.125E-2</v>
      </c>
      <c r="DK21" s="3"/>
      <c r="DL21" s="3"/>
      <c r="DM21" s="38"/>
      <c r="DN21" s="38"/>
      <c r="DO21" s="38"/>
    </row>
    <row r="22" spans="1:157">
      <c r="A22" s="18" t="s">
        <v>4</v>
      </c>
      <c r="B22" s="19" t="str" cm="1">
        <f t="array" ref="B22">_xlfn.SWITCH(WEEKDAY(($C$13+C22),2),1,"MO",2,"DI",3,"MI",4,"DO",5,"FR",6,"SA",7,"SO")</f>
        <v>SA</v>
      </c>
      <c r="C22" s="20">
        <f>C21+D21</f>
        <v>1.8506944444444446</v>
      </c>
      <c r="D22" s="19"/>
      <c r="DK22" s="3"/>
      <c r="DL22" s="3"/>
      <c r="DM22" s="38"/>
      <c r="DN22" s="38"/>
      <c r="DO22" s="38"/>
    </row>
    <row r="24" spans="1:157">
      <c r="A24" s="8" t="s">
        <v>0</v>
      </c>
      <c r="B24" s="9"/>
      <c r="C24" s="10">
        <v>45983</v>
      </c>
      <c r="D24" s="9"/>
      <c r="E24" s="2"/>
    </row>
    <row r="25" spans="1:157">
      <c r="A25" s="11"/>
      <c r="B25" s="11"/>
      <c r="C25" s="12" t="s">
        <v>1</v>
      </c>
      <c r="D25" s="12" t="s">
        <v>2</v>
      </c>
    </row>
    <row r="26" spans="1:157">
      <c r="A26" s="13"/>
      <c r="B26" s="14" t="str" cm="1">
        <f t="array" ref="B26">_xlfn.SWITCH(WEEKDAY(($C$24+C26),2),1,"MO",2,"DI",3,"MI",4,"DO",5,"FR",6,"SA",7,"SO")</f>
        <v>SA</v>
      </c>
      <c r="C26" s="15">
        <v>0.375</v>
      </c>
      <c r="D26" s="16">
        <v>4.1666666666666664E-2</v>
      </c>
      <c r="BW26" s="37"/>
    </row>
    <row r="27" spans="1:157">
      <c r="A27" s="13"/>
      <c r="B27" s="14" t="str" cm="1">
        <f t="array" ref="B27">_xlfn.SWITCH(WEEKDAY(($C$24+C27),2),1,"MO",2,"DI",3,"MI",4,"DO",5,"FR",6,"SA",7,"SO")</f>
        <v>SA</v>
      </c>
      <c r="C27" s="16">
        <f t="shared" ref="C27:C29" si="6">C26+D26</f>
        <v>0.41666666666666669</v>
      </c>
      <c r="D27" s="16">
        <v>6.25E-2</v>
      </c>
      <c r="E27" s="4"/>
      <c r="CA27" s="37"/>
    </row>
    <row r="28" spans="1:157">
      <c r="A28" s="13"/>
      <c r="B28" s="14" t="str" cm="1">
        <f t="array" ref="B28">_xlfn.SWITCH(WEEKDAY(($C$24+C28),2),1,"MO",2,"DI",3,"MI",4,"DO",5,"FR",6,"SA",7,"SO")</f>
        <v>SA</v>
      </c>
      <c r="C28" s="16">
        <f t="shared" si="6"/>
        <v>0.47916666666666669</v>
      </c>
      <c r="D28" s="16">
        <v>6.25E-2</v>
      </c>
      <c r="CG28" s="37"/>
    </row>
    <row r="29" spans="1:157">
      <c r="A29" s="13"/>
      <c r="B29" s="14" t="str" cm="1">
        <f t="array" ref="B29">_xlfn.SWITCH(WEEKDAY(($C$24+C29),2),1,"MO",2,"DI",3,"MI",4,"DO",5,"FR",6,"SA",7,"SO")</f>
        <v>SA</v>
      </c>
      <c r="C29" s="16">
        <f t="shared" si="6"/>
        <v>0.54166666666666674</v>
      </c>
      <c r="D29" s="16">
        <v>2.4305555555555556E-2</v>
      </c>
      <c r="CM29" s="37"/>
    </row>
    <row r="30" spans="1:157">
      <c r="A30" s="13"/>
      <c r="B30" s="14" t="str" cm="1">
        <f t="array" ref="B30">_xlfn.SWITCH(WEEKDAY(($C$24+C30),2),1,"MO",2,"DI",3,"MI",4,"DO",5,"FR",6,"SA",7,"SO")</f>
        <v>SA</v>
      </c>
      <c r="C30" s="16">
        <f>C29+D29</f>
        <v>0.56597222222222232</v>
      </c>
      <c r="D30" s="17">
        <v>0.64236111111111116</v>
      </c>
      <c r="E30" s="4" t="s">
        <v>3</v>
      </c>
      <c r="CO30" s="37"/>
      <c r="CS30" s="37"/>
      <c r="EH30" s="5"/>
    </row>
    <row r="31" spans="1:157">
      <c r="A31" s="13"/>
      <c r="B31" s="14" t="str" cm="1">
        <f t="array" ref="B31">_xlfn.SWITCH(WEEKDAY(($C$24+C31),2),1,"MO",2,"DI",3,"MI",4,"DO",5,"FR",6,"SA",7,"SO")</f>
        <v>SO</v>
      </c>
      <c r="C31" s="16">
        <f>C30+D30</f>
        <v>1.2083333333333335</v>
      </c>
      <c r="D31" s="16">
        <v>2.4305555555555556E-2</v>
      </c>
      <c r="EY31" s="38"/>
      <c r="EZ31" s="38"/>
      <c r="FA31" s="38"/>
    </row>
    <row r="32" spans="1:157">
      <c r="A32" s="18" t="s">
        <v>4</v>
      </c>
      <c r="B32" s="19" t="str" cm="1">
        <f t="array" ref="B32">_xlfn.SWITCH(WEEKDAY(($C$24+C32),2),1,"MO",2,"DI",3,"MI",4,"DO",5,"FR",6,"SA",7,"SO")</f>
        <v>SO</v>
      </c>
      <c r="C32" s="20">
        <f>C31+D31</f>
        <v>1.2326388888888891</v>
      </c>
      <c r="D32" s="19"/>
      <c r="EY32" s="38"/>
      <c r="EZ32" s="38"/>
      <c r="FA32" s="38"/>
    </row>
    <row r="34" spans="1:166">
      <c r="A34" s="8" t="s">
        <v>0</v>
      </c>
      <c r="B34" s="9"/>
      <c r="C34" s="10">
        <v>45983</v>
      </c>
    </row>
    <row r="35" spans="1:166">
      <c r="A35" s="11"/>
      <c r="B35" s="11"/>
      <c r="C35" s="12" t="s">
        <v>1</v>
      </c>
      <c r="D35" s="12" t="s">
        <v>2</v>
      </c>
    </row>
    <row r="36" spans="1:166">
      <c r="A36" s="13"/>
      <c r="B36" s="14" t="str" cm="1">
        <f t="array" ref="B36">_xlfn.SWITCH(WEEKDAY(($C$34+C36),2),1,"MO",2,"DI",3,"MI",4,"DO",5,"FR",6,"SA",7,"SO")</f>
        <v>SA</v>
      </c>
      <c r="C36" s="15">
        <v>0.43055555555555558</v>
      </c>
      <c r="D36" s="16">
        <v>2.7777777777777776E-2</v>
      </c>
      <c r="CB36" s="37"/>
      <c r="CD36" s="37"/>
    </row>
    <row r="37" spans="1:166">
      <c r="A37" s="13"/>
      <c r="B37" s="14" t="str" cm="1">
        <f t="array" ref="B37">_xlfn.SWITCH(WEEKDAY(($C$34+C37),2),1,"MO",2,"DI",3,"MI",4,"DO",5,"FR",6,"SA",7,"SO")</f>
        <v>SA</v>
      </c>
      <c r="C37" s="16">
        <f t="shared" ref="C37:C45" si="7">C36+D36</f>
        <v>0.45833333333333337</v>
      </c>
      <c r="D37" s="16">
        <v>2.0833333333333332E-2</v>
      </c>
      <c r="CE37" s="37"/>
    </row>
    <row r="38" spans="1:166">
      <c r="A38" s="13"/>
      <c r="B38" s="14" t="str" cm="1">
        <f t="array" ref="B38">_xlfn.SWITCH(WEEKDAY(($C$34+C38),2),1,"MO",2,"DI",3,"MI",4,"DO",5,"FR",6,"SA",7,"SO")</f>
        <v>SA</v>
      </c>
      <c r="C38" s="16">
        <f t="shared" si="7"/>
        <v>0.47916666666666669</v>
      </c>
      <c r="D38" s="16">
        <v>2.0833333333333332E-2</v>
      </c>
      <c r="CG38" s="37"/>
    </row>
    <row r="39" spans="1:166">
      <c r="A39" s="13"/>
      <c r="B39" s="14" t="str" cm="1">
        <f t="array" ref="B39">_xlfn.SWITCH(WEEKDAY(($C$34+C39),2),1,"MO",2,"DI",3,"MI",4,"DO",5,"FR",6,"SA",7,"SO")</f>
        <v>SA</v>
      </c>
      <c r="C39" s="16">
        <f t="shared" si="7"/>
        <v>0.5</v>
      </c>
      <c r="D39" s="16">
        <v>2.0833333333333332E-2</v>
      </c>
      <c r="CI39" s="37"/>
    </row>
    <row r="40" spans="1:166">
      <c r="A40" s="13"/>
      <c r="B40" s="14" t="str" cm="1">
        <f t="array" ref="B40">_xlfn.SWITCH(WEEKDAY(($C$34+C40),2),1,"MO",2,"DI",3,"MI",4,"DO",5,"FR",6,"SA",7,"SO")</f>
        <v>SA</v>
      </c>
      <c r="C40" s="16">
        <f t="shared" si="7"/>
        <v>0.52083333333333337</v>
      </c>
      <c r="D40" s="16">
        <v>2.0833333333333332E-2</v>
      </c>
      <c r="CK40" s="37"/>
    </row>
    <row r="41" spans="1:166">
      <c r="A41" s="13"/>
      <c r="B41" s="14" t="str" cm="1">
        <f t="array" ref="B41">_xlfn.SWITCH(WEEKDAY(($C$34+C41),2),1,"MO",2,"DI",3,"MI",4,"DO",5,"FR",6,"SA",7,"SO")</f>
        <v>SA</v>
      </c>
      <c r="C41" s="16">
        <f t="shared" si="7"/>
        <v>0.54166666666666674</v>
      </c>
      <c r="D41" s="16">
        <v>2.0833333333333332E-2</v>
      </c>
      <c r="CM41" s="37"/>
    </row>
    <row r="42" spans="1:166">
      <c r="A42" s="13"/>
      <c r="B42" s="14" t="str" cm="1">
        <f t="array" ref="B42">_xlfn.SWITCH(WEEKDAY(($C$34+C42),2),1,"MO",2,"DI",3,"MI",4,"DO",5,"FR",6,"SA",7,"SO")</f>
        <v>SA</v>
      </c>
      <c r="C42" s="16">
        <f t="shared" si="7"/>
        <v>0.56250000000000011</v>
      </c>
      <c r="D42" s="16">
        <v>2.0833333333333332E-2</v>
      </c>
      <c r="CO42" s="37"/>
    </row>
    <row r="43" spans="1:166">
      <c r="A43" s="13"/>
      <c r="B43" s="14" t="str" cm="1">
        <f t="array" ref="B43">_xlfn.SWITCH(WEEKDAY(($C$34+C43),2),1,"MO",2,"DI",3,"MI",4,"DO",5,"FR",6,"SA",7,"SO")</f>
        <v>SA</v>
      </c>
      <c r="C43" s="16">
        <f t="shared" si="7"/>
        <v>0.58333333333333348</v>
      </c>
      <c r="D43" s="16">
        <v>4.1666666666666664E-2</v>
      </c>
      <c r="CQ43" s="37"/>
    </row>
    <row r="44" spans="1:166">
      <c r="A44" s="13"/>
      <c r="B44" s="14" t="str" cm="1">
        <f t="array" ref="B44">_xlfn.SWITCH(WEEKDAY(($C$34+C44),2),1,"MO",2,"DI",3,"MI",4,"DO",5,"FR",6,"SA",7,"SO")</f>
        <v>SA</v>
      </c>
      <c r="C44" s="16">
        <f t="shared" si="7"/>
        <v>0.62500000000000011</v>
      </c>
      <c r="D44" s="17">
        <v>0.625</v>
      </c>
      <c r="E44" s="3" t="s">
        <v>5</v>
      </c>
      <c r="CT44" s="37"/>
      <c r="EH44" s="5"/>
    </row>
    <row r="45" spans="1:166">
      <c r="A45" s="9"/>
      <c r="B45" s="14" t="str" cm="1">
        <f t="array" ref="B45">_xlfn.SWITCH(WEEKDAY(($C$34+C45),2),1,"MO",2,"DI",3,"MI",4,"DO",5,"FR",6,"SA",7,"SO")</f>
        <v>SO</v>
      </c>
      <c r="C45" s="16">
        <f t="shared" si="7"/>
        <v>1.25</v>
      </c>
      <c r="D45" s="16">
        <v>3.4722222222222224E-2</v>
      </c>
      <c r="FC45" s="38"/>
      <c r="FD45" s="38"/>
      <c r="FE45" s="38"/>
      <c r="FF45" s="38"/>
      <c r="FG45" s="38"/>
      <c r="FH45" s="38"/>
      <c r="FI45" s="38"/>
      <c r="FJ45" s="38"/>
    </row>
    <row r="46" spans="1:166">
      <c r="A46" s="18" t="s">
        <v>6</v>
      </c>
      <c r="B46" s="19" t="str" cm="1">
        <f t="array" ref="B46">_xlfn.SWITCH(WEEKDAY(($C$34+C46),2),1,"MO",2,"DI",3,"MI",4,"DO",5,"FR",6,"SA",7,"SO")</f>
        <v>SO</v>
      </c>
      <c r="C46" s="20">
        <f>C45+D45</f>
        <v>1.2847222222222223</v>
      </c>
      <c r="D46" s="19"/>
      <c r="FC46" s="38"/>
      <c r="FD46" s="38"/>
      <c r="FE46" s="38"/>
      <c r="FF46" s="38"/>
      <c r="FG46" s="38"/>
      <c r="FH46" s="38"/>
      <c r="FI46" s="38"/>
      <c r="FJ46" s="38"/>
    </row>
    <row r="48" spans="1:166">
      <c r="A48" s="8" t="s">
        <v>0</v>
      </c>
      <c r="B48" s="9"/>
      <c r="C48" s="10">
        <v>45983</v>
      </c>
      <c r="D48" s="9"/>
      <c r="E48" s="2"/>
    </row>
    <row r="49" spans="1:175">
      <c r="A49" s="11"/>
      <c r="B49" s="11"/>
      <c r="C49" s="12" t="s">
        <v>1</v>
      </c>
      <c r="D49" s="12" t="s">
        <v>2</v>
      </c>
    </row>
    <row r="50" spans="1:175">
      <c r="A50" s="13"/>
      <c r="B50" s="14" t="str" cm="1">
        <f t="array" ref="B50">_xlfn.SWITCH(WEEKDAY(($C$59+C50),2),1,"MO",2,"DI",3,"MI",4,"DO",5,"FR",6,"SA",7,"SO")</f>
        <v>SA</v>
      </c>
      <c r="C50" s="15">
        <v>0.625</v>
      </c>
      <c r="D50" s="16">
        <v>5.2083333333333336E-2</v>
      </c>
      <c r="CU50" s="37"/>
      <c r="EF50" s="3"/>
      <c r="EH50" s="5"/>
    </row>
    <row r="51" spans="1:175">
      <c r="A51" s="13"/>
      <c r="B51" s="14" t="str" cm="1">
        <f t="array" ref="B51">_xlfn.SWITCH(WEEKDAY(($C$59+C51),2),1,"MO",2,"DI",3,"MI",4,"DO",5,"FR",6,"SA",7,"SO")</f>
        <v>SA</v>
      </c>
      <c r="C51" s="16">
        <f t="shared" ref="C51:C53" si="8">C50+D50</f>
        <v>0.67708333333333337</v>
      </c>
      <c r="D51" s="16">
        <v>1.3888888888888888E-2</v>
      </c>
      <c r="E51" s="4"/>
      <c r="CZ51" s="37"/>
      <c r="EF51" s="3"/>
      <c r="EH51" s="5"/>
    </row>
    <row r="52" spans="1:175">
      <c r="A52" s="13"/>
      <c r="B52" s="14" t="str" cm="1">
        <f t="array" ref="B52">_xlfn.SWITCH(WEEKDAY(($C$59+C52),2),1,"MO",2,"DI",3,"MI",4,"DO",5,"FR",6,"SA",7,"SO")</f>
        <v>SA</v>
      </c>
      <c r="C52" s="16">
        <f t="shared" si="8"/>
        <v>0.69097222222222221</v>
      </c>
      <c r="D52" s="16">
        <v>1.3888888888888888E-2</v>
      </c>
      <c r="EF52" s="3"/>
      <c r="EH52" s="5"/>
    </row>
    <row r="53" spans="1:175">
      <c r="A53" s="13"/>
      <c r="B53" s="14" t="str" cm="1">
        <f t="array" ref="B53">_xlfn.SWITCH(WEEKDAY(($C$59+C53),2),1,"MO",2,"DI",3,"MI",4,"DO",5,"FR",6,"SA",7,"SO")</f>
        <v>SA</v>
      </c>
      <c r="C53" s="16">
        <f t="shared" si="8"/>
        <v>0.70486111111111105</v>
      </c>
      <c r="D53" s="17">
        <v>0.5625</v>
      </c>
      <c r="E53" s="4" t="s">
        <v>3</v>
      </c>
      <c r="DB53" s="37"/>
      <c r="DC53" s="37"/>
      <c r="EB53" s="3"/>
      <c r="EH53" s="5"/>
      <c r="FS53" s="3"/>
    </row>
    <row r="54" spans="1:175">
      <c r="A54" s="13"/>
      <c r="B54" s="14" t="str" cm="1">
        <f t="array" ref="B54">_xlfn.SWITCH(WEEKDAY(($C$59+C54),2),1,"MO",2,"DI",3,"MI",4,"DO",5,"FR",6,"SA",7,"SO")</f>
        <v>SO</v>
      </c>
      <c r="C54" s="16">
        <f>C53+D53</f>
        <v>1.2673611111111112</v>
      </c>
      <c r="D54" s="16">
        <v>2.4305555555555556E-2</v>
      </c>
      <c r="EF54" s="3"/>
      <c r="EH54" s="5"/>
      <c r="FE54" s="37"/>
      <c r="FS54" s="3"/>
    </row>
    <row r="55" spans="1:175">
      <c r="A55" s="13"/>
      <c r="B55" s="14" t="str" cm="1">
        <f t="array" ref="B55">_xlfn.SWITCH(WEEKDAY(($C$59+C55),2),1,"MO",2,"DI",3,"MI",4,"DO",5,"FR",6,"SA",7,"SO")</f>
        <v>SO</v>
      </c>
      <c r="C55" s="16">
        <f>C54+D54</f>
        <v>1.2916666666666667</v>
      </c>
      <c r="D55" s="17">
        <v>4.1666666666666664E-2</v>
      </c>
      <c r="E55" s="4" t="s">
        <v>7</v>
      </c>
      <c r="EF55" s="3"/>
      <c r="EH55" s="5"/>
      <c r="FH55" s="37"/>
      <c r="FS55" s="3"/>
    </row>
    <row r="56" spans="1:175">
      <c r="A56" s="13"/>
      <c r="B56" s="14" t="str" cm="1">
        <f t="array" ref="B56">_xlfn.SWITCH(WEEKDAY(($C$59+C56),2),1,"MO",2,"DI",3,"MI",4,"DO",5,"FR",6,"SA",7,"SO")</f>
        <v>SO</v>
      </c>
      <c r="C56" s="16">
        <f>C55+D55</f>
        <v>1.3333333333333335</v>
      </c>
      <c r="D56" s="16">
        <v>1.7361111111111112E-2</v>
      </c>
      <c r="EF56" s="3"/>
      <c r="EH56" s="5"/>
      <c r="FK56" s="38"/>
      <c r="FL56" s="38"/>
      <c r="FM56" s="38"/>
      <c r="FN56" s="38"/>
      <c r="FS56" s="3"/>
    </row>
    <row r="57" spans="1:175">
      <c r="A57" s="18" t="s">
        <v>4</v>
      </c>
      <c r="B57" s="19" t="str" cm="1">
        <f t="array" ref="B57">_xlfn.SWITCH(WEEKDAY(($C$59+C57),2),1,"MO",2,"DI",3,"MI",4,"DO",5,"FR",6,"SA",7,"SO")</f>
        <v>SO</v>
      </c>
      <c r="C57" s="20">
        <f>C56+D56</f>
        <v>1.3506944444444446</v>
      </c>
      <c r="D57" s="19"/>
      <c r="EF57" s="3"/>
      <c r="EH57" s="5"/>
      <c r="FK57" s="38"/>
      <c r="FL57" s="38"/>
      <c r="FM57" s="38"/>
      <c r="FN57" s="38"/>
      <c r="FS57" s="3"/>
    </row>
    <row r="58" spans="1:175">
      <c r="EF58" s="3"/>
      <c r="EH58" s="5"/>
    </row>
    <row r="59" spans="1:175">
      <c r="A59" s="8" t="s">
        <v>0</v>
      </c>
      <c r="B59" s="9"/>
      <c r="C59" s="10">
        <v>45983</v>
      </c>
      <c r="D59" s="9"/>
      <c r="E59" s="2"/>
      <c r="EF59" s="3"/>
      <c r="EH59" s="5"/>
    </row>
    <row r="60" spans="1:175">
      <c r="A60" s="11"/>
      <c r="B60" s="11"/>
      <c r="C60" s="12" t="s">
        <v>1</v>
      </c>
      <c r="D60" s="12" t="s">
        <v>2</v>
      </c>
      <c r="EF60" s="3"/>
      <c r="EH60" s="5"/>
    </row>
    <row r="61" spans="1:175">
      <c r="A61" s="13"/>
      <c r="B61" s="14" t="str" cm="1">
        <f t="array" ref="B61">_xlfn.SWITCH(WEEKDAY(($C$59+C61),2),1,"MO",2,"DI",3,"MI",4,"DO",5,"FR",6,"SA",7,"SO")</f>
        <v>SA</v>
      </c>
      <c r="C61" s="15">
        <v>0.66666666666666663</v>
      </c>
      <c r="D61" s="16">
        <v>5.2083333333333336E-2</v>
      </c>
      <c r="CY61" s="37"/>
      <c r="EF61" s="3"/>
      <c r="EH61" s="5"/>
    </row>
    <row r="62" spans="1:175">
      <c r="A62" s="13"/>
      <c r="B62" s="14" t="str" cm="1">
        <f t="array" ref="B62">_xlfn.SWITCH(WEEKDAY(($C$59+C62),2),1,"MO",2,"DI",3,"MI",4,"DO",5,"FR",6,"SA",7,"SO")</f>
        <v>SA</v>
      </c>
      <c r="C62" s="16">
        <f t="shared" ref="C62:C64" si="9">C61+D61</f>
        <v>0.71875</v>
      </c>
      <c r="D62" s="16">
        <v>1.3888888888888888E-2</v>
      </c>
      <c r="E62" s="4"/>
      <c r="DD62" s="37"/>
      <c r="EF62" s="3"/>
      <c r="EH62" s="5"/>
    </row>
    <row r="63" spans="1:175">
      <c r="A63" s="13"/>
      <c r="B63" s="14" t="str" cm="1">
        <f t="array" ref="B63">_xlfn.SWITCH(WEEKDAY(($C$59+C63),2),1,"MO",2,"DI",3,"MI",4,"DO",5,"FR",6,"SA",7,"SO")</f>
        <v>SA</v>
      </c>
      <c r="C63" s="16">
        <f t="shared" si="9"/>
        <v>0.73263888888888884</v>
      </c>
      <c r="D63" s="16">
        <v>1.3888888888888888E-2</v>
      </c>
      <c r="EF63" s="3"/>
      <c r="EH63" s="5"/>
    </row>
    <row r="64" spans="1:175">
      <c r="A64" s="13"/>
      <c r="B64" s="14" t="str" cm="1">
        <f t="array" ref="B64">_xlfn.SWITCH(WEEKDAY(($C$59+C64),2),1,"MO",2,"DI",3,"MI",4,"DO",5,"FR",6,"SA",7,"SO")</f>
        <v>SA</v>
      </c>
      <c r="C64" s="16">
        <f t="shared" si="9"/>
        <v>0.74652777777777768</v>
      </c>
      <c r="D64" s="17">
        <v>0.58333333333333337</v>
      </c>
      <c r="E64" s="4" t="s">
        <v>3</v>
      </c>
      <c r="DF64" s="37"/>
      <c r="EF64" s="3"/>
      <c r="EH64" s="5"/>
    </row>
    <row r="65" spans="1:177">
      <c r="A65" s="13"/>
      <c r="B65" s="14" t="str" cm="1">
        <f t="array" ref="B65">_xlfn.SWITCH(WEEKDAY(($C$59+C65),2),1,"MO",2,"DI",3,"MI",4,"DO",5,"FR",6,"SA",7,"SO")</f>
        <v>SO</v>
      </c>
      <c r="C65" s="16">
        <f>C64+D64</f>
        <v>1.3298611111111112</v>
      </c>
      <c r="D65" s="16">
        <v>2.0833333333333332E-2</v>
      </c>
      <c r="EF65" s="3"/>
      <c r="EH65" s="5"/>
      <c r="FH65" s="3"/>
      <c r="FI65" s="3"/>
      <c r="FJ65" s="37"/>
    </row>
    <row r="66" spans="1:177">
      <c r="A66" s="13"/>
      <c r="B66" s="14" t="str" cm="1">
        <f t="array" ref="B66">_xlfn.SWITCH(WEEKDAY(($C$59+C66),2),1,"MO",2,"DI",3,"MI",4,"DO",5,"FR",6,"SA",7,"SO")</f>
        <v>SO</v>
      </c>
      <c r="C66" s="16">
        <f>C65+D65</f>
        <v>1.3506944444444444</v>
      </c>
      <c r="D66" s="17">
        <v>5.2083333333333336E-2</v>
      </c>
      <c r="E66" s="4" t="s">
        <v>7</v>
      </c>
      <c r="EF66" s="3"/>
      <c r="EH66" s="5"/>
      <c r="FH66" s="3"/>
      <c r="FI66" s="3"/>
      <c r="FL66" s="37"/>
      <c r="FT66" s="3"/>
      <c r="FU66" s="3"/>
    </row>
    <row r="67" spans="1:177">
      <c r="A67" s="13"/>
      <c r="B67" s="14" t="str" cm="1">
        <f t="array" ref="B67">_xlfn.SWITCH(WEEKDAY(($C$59+C67),2),1,"MO",2,"DI",3,"MI",4,"DO",5,"FR",6,"SA",7,"SO")</f>
        <v>SO</v>
      </c>
      <c r="C67" s="16">
        <f>C66+D66</f>
        <v>1.4027777777777777</v>
      </c>
      <c r="D67" s="16">
        <v>1.7361111111111112E-2</v>
      </c>
      <c r="EF67" s="3"/>
      <c r="EH67" s="5"/>
      <c r="FH67" s="3"/>
      <c r="FI67" s="3"/>
      <c r="FQ67" s="38"/>
      <c r="FR67" s="38"/>
      <c r="FS67" s="38"/>
      <c r="FT67" s="3"/>
      <c r="FU67" s="3"/>
    </row>
    <row r="68" spans="1:177">
      <c r="A68" s="18" t="s">
        <v>4</v>
      </c>
      <c r="B68" s="19" t="str" cm="1">
        <f t="array" ref="B68">_xlfn.SWITCH(WEEKDAY(($C$59+C68),2),1,"MO",2,"DI",3,"MI",4,"DO",5,"FR",6,"SA",7,"SO")</f>
        <v>SO</v>
      </c>
      <c r="C68" s="20">
        <f>C67+D67</f>
        <v>1.4201388888888888</v>
      </c>
      <c r="D68" s="19"/>
      <c r="EF68" s="3"/>
      <c r="EH68" s="5"/>
      <c r="FH68" s="3"/>
      <c r="FI68" s="3"/>
      <c r="FQ68" s="38"/>
      <c r="FR68" s="38"/>
      <c r="FS68" s="38"/>
      <c r="FT68" s="3"/>
      <c r="FU68" s="3"/>
    </row>
    <row r="70" spans="1:177" s="21" customFormat="1"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423A-CDEF-1B48-987D-08D3567651E9}">
  <sheetPr>
    <tabColor theme="2" tint="-9.9978637043366805E-2"/>
  </sheetPr>
  <dimension ref="B1:Q95"/>
  <sheetViews>
    <sheetView showGridLines="0" zoomScale="110" zoomScaleNormal="110" workbookViewId="0">
      <pane ySplit="2" topLeftCell="A3" activePane="bottomLeft" state="frozen"/>
      <selection activeCell="C6" sqref="C6"/>
      <selection pane="bottomLeft" activeCell="C42" sqref="C42"/>
    </sheetView>
  </sheetViews>
  <sheetFormatPr baseColWidth="10" defaultRowHeight="16"/>
  <cols>
    <col min="1" max="1" width="6.6640625" style="40" customWidth="1"/>
    <col min="2" max="2" width="13" style="40" bestFit="1" customWidth="1"/>
    <col min="3" max="3" width="47" style="40" bestFit="1" customWidth="1"/>
    <col min="4" max="4" width="7" style="40" bestFit="1" customWidth="1"/>
    <col min="5" max="5" width="7.6640625" style="40" bestFit="1" customWidth="1"/>
    <col min="6" max="6" width="7.6640625" style="110" bestFit="1" customWidth="1"/>
    <col min="7" max="7" width="10" style="109" bestFit="1" customWidth="1"/>
    <col min="8" max="8" width="10.1640625" style="126" bestFit="1" customWidth="1"/>
    <col min="9" max="9" width="10.83203125" style="40"/>
    <col min="10" max="10" width="8.5" style="110" bestFit="1" customWidth="1"/>
    <col min="11" max="11" width="21" style="40" bestFit="1" customWidth="1"/>
    <col min="12" max="12" width="31" style="40" bestFit="1" customWidth="1"/>
    <col min="13" max="13" width="10.83203125" style="40"/>
    <col min="14" max="14" width="13.5" style="40" bestFit="1" customWidth="1"/>
    <col min="15" max="16" width="10.83203125" style="40"/>
    <col min="17" max="17" width="10.83203125" style="128"/>
    <col min="18" max="16384" width="10.83203125" style="40"/>
  </cols>
  <sheetData>
    <row r="1" spans="2:17">
      <c r="G1" s="109" t="s">
        <v>79</v>
      </c>
      <c r="H1" s="118"/>
    </row>
    <row r="2" spans="2:17">
      <c r="B2" s="119" t="s">
        <v>209</v>
      </c>
      <c r="C2" s="120" t="s">
        <v>60</v>
      </c>
      <c r="D2" s="41" t="s">
        <v>169</v>
      </c>
      <c r="E2" s="121" t="s">
        <v>1</v>
      </c>
      <c r="F2" s="122" t="s">
        <v>58</v>
      </c>
      <c r="G2" s="109" t="s">
        <v>80</v>
      </c>
      <c r="H2" s="123" t="s">
        <v>81</v>
      </c>
      <c r="K2" s="51" t="s">
        <v>59</v>
      </c>
      <c r="L2" s="51" t="s">
        <v>60</v>
      </c>
      <c r="M2" s="127">
        <v>46098</v>
      </c>
      <c r="N2" s="52" t="s">
        <v>1</v>
      </c>
      <c r="O2" s="52" t="s">
        <v>58</v>
      </c>
      <c r="P2" s="49" t="s">
        <v>247</v>
      </c>
    </row>
    <row r="3" spans="2:17">
      <c r="B3" s="132" t="s">
        <v>140</v>
      </c>
      <c r="C3" t="s">
        <v>54</v>
      </c>
      <c r="D3" s="41" t="s">
        <v>167</v>
      </c>
      <c r="E3" s="111">
        <v>0.27083333333333331</v>
      </c>
      <c r="F3" s="54">
        <v>1.3888888888888888E-2</v>
      </c>
      <c r="G3" s="112"/>
      <c r="H3" s="124"/>
      <c r="K3" s="130" t="s">
        <v>170</v>
      </c>
      <c r="L3" s="133" t="s">
        <v>163</v>
      </c>
      <c r="M3" s="134" t="str" cm="1">
        <f t="array" ref="M3">_xlfn.SWITCH(WEEKDAY(($M$2+N3),2),1,"MO",2,"TU",3,"WE",4,"TH",5,"FR",6,"SA",7,"SO")</f>
        <v>TU</v>
      </c>
      <c r="N3" s="135">
        <v>0.25</v>
      </c>
      <c r="O3" s="136">
        <v>0.54166666666666663</v>
      </c>
      <c r="P3" s="3" t="s">
        <v>168</v>
      </c>
    </row>
    <row r="4" spans="2:17">
      <c r="B4" s="132" t="s">
        <v>140</v>
      </c>
      <c r="C4" t="s">
        <v>119</v>
      </c>
      <c r="D4" s="41" t="s">
        <v>167</v>
      </c>
      <c r="E4" s="111">
        <v>0.29166666666666669</v>
      </c>
      <c r="F4" s="54">
        <v>3.125E-2</v>
      </c>
      <c r="G4" s="112"/>
      <c r="H4" s="147"/>
      <c r="K4" s="130" t="s">
        <v>170</v>
      </c>
      <c r="L4" s="133" t="s">
        <v>54</v>
      </c>
      <c r="M4" s="134" t="str" cm="1">
        <f t="array" ref="M4">_xlfn.SWITCH(WEEKDAY(($M$2+N4),2),1,"MO",2,"TU",3,"WE",4,"TH",5,"FR",6,"SA",7,"SO")</f>
        <v>TU</v>
      </c>
      <c r="N4" s="137">
        <f t="shared" ref="N4:N8" si="0">N3+O3</f>
        <v>0.79166666666666663</v>
      </c>
      <c r="O4" s="137">
        <v>1.0416666666666666E-2</v>
      </c>
      <c r="P4" s="3"/>
      <c r="Q4" s="129"/>
    </row>
    <row r="5" spans="2:17">
      <c r="B5" s="132" t="s">
        <v>140</v>
      </c>
      <c r="C5" t="s">
        <v>120</v>
      </c>
      <c r="D5" s="41" t="s">
        <v>167</v>
      </c>
      <c r="E5" s="111">
        <v>0.32291666666666669</v>
      </c>
      <c r="F5" s="54">
        <v>3.125E-2</v>
      </c>
      <c r="G5" s="174"/>
      <c r="H5" s="147"/>
      <c r="K5" s="130" t="s">
        <v>170</v>
      </c>
      <c r="L5" s="133" t="s">
        <v>164</v>
      </c>
      <c r="M5" s="134" t="str" cm="1">
        <f t="array" ref="M5">_xlfn.SWITCH(WEEKDAY(($M$2+N5),2),1,"MO",2,"TU",3,"WE",4,"TH",5,"FR",6,"SA",7,"SO")</f>
        <v>TU</v>
      </c>
      <c r="N5" s="137">
        <f t="shared" si="0"/>
        <v>0.80208333333333326</v>
      </c>
      <c r="O5" s="137">
        <v>2.0833333333333332E-2</v>
      </c>
      <c r="P5" s="3"/>
    </row>
    <row r="6" spans="2:17">
      <c r="B6" s="132" t="s">
        <v>140</v>
      </c>
      <c r="C6" t="s">
        <v>121</v>
      </c>
      <c r="D6" s="41" t="s">
        <v>167</v>
      </c>
      <c r="E6" s="111">
        <v>0.35416666666666669</v>
      </c>
      <c r="F6" s="54">
        <v>6.25E-2</v>
      </c>
      <c r="G6" s="112"/>
      <c r="H6" s="123"/>
      <c r="K6" s="130" t="s">
        <v>170</v>
      </c>
      <c r="L6" s="133" t="s">
        <v>55</v>
      </c>
      <c r="M6" s="134" t="str" cm="1">
        <f t="array" ref="M6">_xlfn.SWITCH(WEEKDAY(($M$2+N6),2),1,"MO",2,"TU",3,"WE",4,"TH",5,"FR",6,"SA",7,"SO")</f>
        <v>TU</v>
      </c>
      <c r="N6" s="137">
        <f t="shared" si="0"/>
        <v>0.82291666666666663</v>
      </c>
      <c r="O6" s="137">
        <v>6.9444444444444441E-3</v>
      </c>
      <c r="P6" s="3"/>
    </row>
    <row r="7" spans="2:17">
      <c r="B7" s="132" t="s">
        <v>140</v>
      </c>
      <c r="C7" t="s">
        <v>55</v>
      </c>
      <c r="D7" s="41" t="s">
        <v>167</v>
      </c>
      <c r="E7" s="111">
        <v>0.41666666666666669</v>
      </c>
      <c r="F7" s="54">
        <v>2.0833333333333332E-2</v>
      </c>
      <c r="G7" s="112"/>
      <c r="K7" s="130" t="s">
        <v>170</v>
      </c>
      <c r="L7" s="133" t="s">
        <v>171</v>
      </c>
      <c r="M7" s="134" t="str" cm="1">
        <f t="array" ref="M7">_xlfn.SWITCH(WEEKDAY(($M$2+N7),2),1,"MO",2,"TU",3,"WE",4,"TH",5,"FR",6,"SA",7,"SO")</f>
        <v>TU</v>
      </c>
      <c r="N7" s="137">
        <f t="shared" si="0"/>
        <v>0.82986111111111105</v>
      </c>
      <c r="O7" s="136">
        <v>0.37847222222222221</v>
      </c>
      <c r="P7" s="3"/>
    </row>
    <row r="8" spans="2:17">
      <c r="B8" s="132" t="s">
        <v>140</v>
      </c>
      <c r="C8" t="s">
        <v>172</v>
      </c>
      <c r="D8" s="41" t="s">
        <v>167</v>
      </c>
      <c r="E8" s="111">
        <v>0.4375</v>
      </c>
      <c r="F8" s="54">
        <v>1.7361111111111112E-2</v>
      </c>
      <c r="G8" s="112"/>
      <c r="H8" s="147"/>
      <c r="K8" s="130" t="s">
        <v>170</v>
      </c>
      <c r="L8" s="133" t="s">
        <v>165</v>
      </c>
      <c r="M8" s="134" t="str" cm="1">
        <f t="array" ref="M8">_xlfn.SWITCH(WEEKDAY(($M$2+N8),2),1,"MO",2,"TU",3,"WE",4,"TH",5,"FR",6,"SA",7,"SO")</f>
        <v>WE</v>
      </c>
      <c r="N8" s="137">
        <f t="shared" si="0"/>
        <v>1.2083333333333333</v>
      </c>
      <c r="O8" s="137">
        <v>4.1666666666666664E-2</v>
      </c>
      <c r="P8" s="3"/>
    </row>
    <row r="9" spans="2:17">
      <c r="B9" s="132" t="s">
        <v>140</v>
      </c>
      <c r="C9" t="s">
        <v>122</v>
      </c>
      <c r="D9" s="41" t="s">
        <v>167</v>
      </c>
      <c r="E9" s="111">
        <v>0.4548611111111111</v>
      </c>
      <c r="F9" s="54">
        <v>0.4375</v>
      </c>
      <c r="G9" s="112"/>
      <c r="H9" s="147"/>
      <c r="I9" s="78"/>
      <c r="K9" s="130" t="s">
        <v>170</v>
      </c>
      <c r="L9" s="133" t="s">
        <v>56</v>
      </c>
      <c r="M9" s="134" t="str" cm="1">
        <f t="array" ref="M9">_xlfn.SWITCH(WEEKDAY(($M$2+N9),2),1,"MO",2,"TU",3,"WE",4,"TH",5,"FR",6,"SA",7,"SO")</f>
        <v>WE</v>
      </c>
      <c r="N9" s="137">
        <f>N8+O8</f>
        <v>1.25</v>
      </c>
      <c r="O9" s="137"/>
      <c r="P9" s="3"/>
    </row>
    <row r="10" spans="2:17">
      <c r="B10" s="148" t="s">
        <v>192</v>
      </c>
      <c r="C10" s="79" t="s">
        <v>264</v>
      </c>
      <c r="D10" s="41" t="s">
        <v>167</v>
      </c>
      <c r="E10" s="50">
        <v>0.52083333333333337</v>
      </c>
      <c r="F10" s="54">
        <v>2.0833333333333332E-2</v>
      </c>
      <c r="G10" s="112"/>
      <c r="K10" s="132" t="s">
        <v>140</v>
      </c>
      <c r="L10" s="133" t="s">
        <v>147</v>
      </c>
      <c r="M10" s="134" t="str" cm="1">
        <f t="array" ref="M10">_xlfn.SWITCH(WEEKDAY(($M$2+N10),2),1,"MO",2,"TU",3,"WE",4,"TH",5,"FR",6,"SA",7,"SO")</f>
        <v>TU</v>
      </c>
      <c r="N10" s="135">
        <v>0.3125</v>
      </c>
      <c r="O10" s="137">
        <v>1.7361111111111112E-2</v>
      </c>
      <c r="P10" s="3"/>
      <c r="Q10" s="129"/>
    </row>
    <row r="11" spans="2:17">
      <c r="B11" s="131" t="s">
        <v>155</v>
      </c>
      <c r="C11" s="79" t="s">
        <v>264</v>
      </c>
      <c r="D11" s="41" t="s">
        <v>167</v>
      </c>
      <c r="E11" s="53">
        <v>0.52083333333333337</v>
      </c>
      <c r="F11" s="54">
        <v>2.0833333333333332E-2</v>
      </c>
      <c r="G11" s="112"/>
      <c r="H11" s="147"/>
      <c r="K11" s="132" t="s">
        <v>140</v>
      </c>
      <c r="L11" s="133" t="s">
        <v>54</v>
      </c>
      <c r="M11" s="134" t="str" cm="1">
        <f t="array" ref="M11">_xlfn.SWITCH(WEEKDAY(($M$2+N11),2),1,"MO",2,"TU",3,"WE",4,"TH",5,"FR",6,"SA",7,"SO")</f>
        <v>TU</v>
      </c>
      <c r="N11" s="135">
        <v>0.5</v>
      </c>
      <c r="O11" s="137">
        <v>1.3888888888888888E-2</v>
      </c>
      <c r="P11" s="3"/>
    </row>
    <row r="12" spans="2:17">
      <c r="B12" s="148" t="s">
        <v>192</v>
      </c>
      <c r="C12" s="79" t="s">
        <v>255</v>
      </c>
      <c r="D12" s="41" t="s">
        <v>167</v>
      </c>
      <c r="E12" s="50">
        <v>0.54166666666666663</v>
      </c>
      <c r="F12" s="54">
        <v>4.1666666666666664E-2</v>
      </c>
      <c r="G12" s="112"/>
      <c r="I12" s="78"/>
      <c r="K12" s="132" t="s">
        <v>140</v>
      </c>
      <c r="L12" s="133" t="s">
        <v>119</v>
      </c>
      <c r="M12" s="134" t="str" cm="1">
        <f t="array" ref="M12">_xlfn.SWITCH(WEEKDAY(($M$2+N12),2),1,"MO",2,"TU",3,"WE",4,"TH",5,"FR",6,"SA",7,"SO")</f>
        <v>TU</v>
      </c>
      <c r="N12" s="137">
        <f t="shared" ref="N12:N15" si="1">N11+O11</f>
        <v>0.51388888888888884</v>
      </c>
      <c r="O12" s="137">
        <v>3.125E-2</v>
      </c>
      <c r="P12" s="3"/>
    </row>
    <row r="13" spans="2:17">
      <c r="B13" s="131" t="s">
        <v>155</v>
      </c>
      <c r="C13" s="79" t="s">
        <v>255</v>
      </c>
      <c r="D13" s="41" t="s">
        <v>167</v>
      </c>
      <c r="E13" s="50">
        <v>0.54166666666666663</v>
      </c>
      <c r="F13" s="54">
        <v>4.1666666666666664E-2</v>
      </c>
      <c r="G13" s="112"/>
      <c r="H13" s="147"/>
      <c r="K13" s="132" t="s">
        <v>140</v>
      </c>
      <c r="L13" s="133" t="s">
        <v>120</v>
      </c>
      <c r="M13" s="134" t="str" cm="1">
        <f t="array" ref="M13">_xlfn.SWITCH(WEEKDAY(($M$2+N13),2),1,"MO",2,"TU",3,"WE",4,"TH",5,"FR",6,"SA",7,"SO")</f>
        <v>TU</v>
      </c>
      <c r="N13" s="137">
        <f t="shared" si="1"/>
        <v>0.54513888888888884</v>
      </c>
      <c r="O13" s="137">
        <v>3.125E-2</v>
      </c>
      <c r="P13" s="3"/>
    </row>
    <row r="14" spans="2:17">
      <c r="B14" s="131" t="s">
        <v>155</v>
      </c>
      <c r="C14" s="79" t="s">
        <v>196</v>
      </c>
      <c r="D14" s="41" t="s">
        <v>167</v>
      </c>
      <c r="E14" s="53">
        <v>0.54513888888888884</v>
      </c>
      <c r="F14" s="54">
        <v>6.9444444444444441E-3</v>
      </c>
      <c r="G14" s="112"/>
      <c r="H14" s="147"/>
      <c r="J14" s="125"/>
      <c r="K14" s="132" t="s">
        <v>140</v>
      </c>
      <c r="L14" s="133" t="s">
        <v>121</v>
      </c>
      <c r="M14" s="134" t="str" cm="1">
        <f t="array" ref="M14">_xlfn.SWITCH(WEEKDAY(($M$2+N14),2),1,"MO",2,"TU",3,"WE",4,"TH",5,"FR",6,"SA",7,"SO")</f>
        <v>TU</v>
      </c>
      <c r="N14" s="137">
        <f t="shared" si="1"/>
        <v>0.57638888888888884</v>
      </c>
      <c r="O14" s="137">
        <v>6.25E-2</v>
      </c>
      <c r="P14" s="3"/>
    </row>
    <row r="15" spans="2:17">
      <c r="B15" s="148" t="s">
        <v>192</v>
      </c>
      <c r="C15" s="79" t="s">
        <v>265</v>
      </c>
      <c r="D15" s="41" t="s">
        <v>167</v>
      </c>
      <c r="E15" s="50">
        <v>0.57638888888888884</v>
      </c>
      <c r="F15" s="54">
        <v>6.9444444444444441E-3</v>
      </c>
      <c r="G15" s="112"/>
      <c r="H15" s="147"/>
      <c r="I15" s="78"/>
      <c r="K15" s="132" t="s">
        <v>140</v>
      </c>
      <c r="L15" s="133" t="s">
        <v>55</v>
      </c>
      <c r="M15" s="134" t="str" cm="1">
        <f t="array" ref="M15">_xlfn.SWITCH(WEEKDAY(($M$2+N15),2),1,"MO",2,"TU",3,"WE",4,"TH",5,"FR",6,"SA",7,"SO")</f>
        <v>TU</v>
      </c>
      <c r="N15" s="137">
        <f t="shared" si="1"/>
        <v>0.63888888888888884</v>
      </c>
      <c r="O15" s="137">
        <v>1.0416666666666666E-2</v>
      </c>
      <c r="P15" s="3"/>
      <c r="Q15" s="129"/>
    </row>
    <row r="16" spans="2:17">
      <c r="B16" s="148" t="s">
        <v>192</v>
      </c>
      <c r="C16" s="79" t="s">
        <v>185</v>
      </c>
      <c r="D16" s="41" t="s">
        <v>167</v>
      </c>
      <c r="E16" s="50">
        <v>0.58333333333333337</v>
      </c>
      <c r="F16" s="54">
        <v>2.0833333333333332E-2</v>
      </c>
      <c r="G16" s="112"/>
      <c r="H16" s="147"/>
      <c r="I16" s="78"/>
      <c r="K16" s="132" t="s">
        <v>140</v>
      </c>
      <c r="L16" s="133" t="s">
        <v>172</v>
      </c>
      <c r="M16" s="134" t="str" cm="1">
        <f t="array" ref="M16">_xlfn.SWITCH(WEEKDAY(($M$2+N16),2),1,"MO",2,"TU",3,"WE",4,"TH",5,"FR",6,"SA",7,"SO")</f>
        <v>TU</v>
      </c>
      <c r="N16" s="137">
        <f>N15+O15</f>
        <v>0.64930555555555547</v>
      </c>
      <c r="O16" s="137">
        <v>1.7361111111111112E-2</v>
      </c>
      <c r="P16" s="3"/>
      <c r="Q16" s="129"/>
    </row>
    <row r="17" spans="2:16">
      <c r="B17" s="148" t="s">
        <v>192</v>
      </c>
      <c r="C17" s="79" t="s">
        <v>256</v>
      </c>
      <c r="D17" s="41" t="s">
        <v>167</v>
      </c>
      <c r="E17" s="50">
        <v>0.60416666666666663</v>
      </c>
      <c r="F17" s="54">
        <v>1.3888888888888888E-2</v>
      </c>
      <c r="G17" s="112"/>
      <c r="K17" s="132" t="s">
        <v>140</v>
      </c>
      <c r="L17" s="133" t="s">
        <v>171</v>
      </c>
      <c r="M17" s="134" t="str" cm="1">
        <f t="array" ref="M17">_xlfn.SWITCH(WEEKDAY(($M$2+N17),2),1,"MO",2,"TU",3,"WE",4,"TH",5,"FR",6,"SA",7,"SO")</f>
        <v>TU</v>
      </c>
      <c r="N17" s="137">
        <f t="shared" ref="N17:N18" si="2">N16+O16</f>
        <v>0.66666666666666663</v>
      </c>
      <c r="O17" s="136">
        <v>0.625</v>
      </c>
      <c r="P17" s="3" t="s">
        <v>118</v>
      </c>
    </row>
    <row r="18" spans="2:16">
      <c r="B18" s="131" t="s">
        <v>155</v>
      </c>
      <c r="C18" s="79" t="s">
        <v>266</v>
      </c>
      <c r="D18" s="41" t="s">
        <v>167</v>
      </c>
      <c r="E18" s="53">
        <v>0.60486111111111107</v>
      </c>
      <c r="F18" s="54">
        <v>2.0833333333333332E-2</v>
      </c>
      <c r="G18" s="112"/>
      <c r="K18" s="132" t="s">
        <v>140</v>
      </c>
      <c r="L18" s="133" t="s">
        <v>127</v>
      </c>
      <c r="M18" s="134" t="str" cm="1">
        <f t="array" ref="M18">_xlfn.SWITCH(WEEKDAY(($M$2+N18),2),1,"MO",2,"TU",3,"WE",4,"TH",5,"FR",6,"SA",7,"SO")</f>
        <v>WE</v>
      </c>
      <c r="N18" s="137">
        <f t="shared" si="2"/>
        <v>1.2916666666666665</v>
      </c>
      <c r="O18" s="137">
        <v>3.125E-2</v>
      </c>
      <c r="P18" s="3"/>
    </row>
    <row r="19" spans="2:16">
      <c r="B19" s="148" t="s">
        <v>192</v>
      </c>
      <c r="C19" s="79" t="s">
        <v>257</v>
      </c>
      <c r="D19" s="41" t="s">
        <v>167</v>
      </c>
      <c r="E19" s="50">
        <v>0.61805555555555558</v>
      </c>
      <c r="F19" s="54">
        <v>1.3888888888888888E-2</v>
      </c>
      <c r="G19" s="112"/>
      <c r="H19" s="147"/>
      <c r="K19" s="132" t="s">
        <v>140</v>
      </c>
      <c r="L19" s="133" t="s">
        <v>56</v>
      </c>
      <c r="M19" s="134" t="str" cm="1">
        <f t="array" ref="M19">_xlfn.SWITCH(WEEKDAY(($M$2+N19),2),1,"MO",2,"TU",3,"WE",4,"TH",5,"FR",6,"SA",7,"SO")</f>
        <v>WE</v>
      </c>
      <c r="N19" s="137">
        <f>N18+O18</f>
        <v>1.3229166666666665</v>
      </c>
      <c r="O19" s="137"/>
      <c r="P19" s="3"/>
    </row>
    <row r="20" spans="2:16">
      <c r="B20" s="131" t="s">
        <v>155</v>
      </c>
      <c r="C20" s="79" t="s">
        <v>151</v>
      </c>
      <c r="D20" s="41" t="s">
        <v>167</v>
      </c>
      <c r="E20" s="53">
        <v>0.625</v>
      </c>
      <c r="F20" s="54">
        <v>1.3888888888888888E-2</v>
      </c>
      <c r="G20" s="112"/>
      <c r="H20" s="147"/>
      <c r="K20" s="142" t="s">
        <v>138</v>
      </c>
      <c r="L20" s="138" t="s">
        <v>57</v>
      </c>
      <c r="M20" s="134" t="str" cm="1">
        <f t="array" ref="M20">_xlfn.SWITCH(WEEKDAY(($M$2+N20),2),1,"MO",2,"TU",3,"WE",4,"TH",5,"FR",6,"SA",7,"SO")</f>
        <v>TU</v>
      </c>
      <c r="N20" s="135">
        <v>0.70833333333333337</v>
      </c>
      <c r="O20" s="137">
        <v>1.0416666666666666E-2</v>
      </c>
      <c r="P20" s="3"/>
    </row>
    <row r="21" spans="2:16">
      <c r="B21" s="148" t="s">
        <v>192</v>
      </c>
      <c r="C21" s="79" t="s">
        <v>153</v>
      </c>
      <c r="D21" s="41" t="s">
        <v>167</v>
      </c>
      <c r="E21" s="50">
        <v>0.63194444444444442</v>
      </c>
      <c r="F21" s="54">
        <v>0.55208333333333337</v>
      </c>
      <c r="G21" s="112"/>
      <c r="H21" s="147"/>
      <c r="J21" s="125"/>
      <c r="K21" s="142" t="s">
        <v>138</v>
      </c>
      <c r="L21" s="138" t="s">
        <v>89</v>
      </c>
      <c r="M21" s="134" t="str" cm="1">
        <f t="array" ref="M21">_xlfn.SWITCH(WEEKDAY(($M$2+N21),2),1,"MO",2,"TU",3,"WE",4,"TH",5,"FR",6,"SA",7,"SO")</f>
        <v>TU</v>
      </c>
      <c r="N21" s="137">
        <f t="shared" ref="N21:N24" si="3">N20+O20</f>
        <v>0.71875</v>
      </c>
      <c r="O21" s="137">
        <v>1.3888888888888888E-2</v>
      </c>
      <c r="P21" s="3"/>
    </row>
    <row r="22" spans="2:16">
      <c r="B22" s="131" t="s">
        <v>155</v>
      </c>
      <c r="C22" s="79" t="s">
        <v>257</v>
      </c>
      <c r="D22" s="41" t="s">
        <v>167</v>
      </c>
      <c r="E22" s="111">
        <v>0.63888888888888884</v>
      </c>
      <c r="F22" s="54">
        <v>1.3888888888888888E-2</v>
      </c>
      <c r="G22" s="112"/>
      <c r="H22" s="147"/>
      <c r="J22" s="125"/>
      <c r="K22" s="142" t="s">
        <v>138</v>
      </c>
      <c r="L22" s="138" t="s">
        <v>159</v>
      </c>
      <c r="M22" s="134" t="str" cm="1">
        <f t="array" ref="M22">_xlfn.SWITCH(WEEKDAY(($M$2+N22),2),1,"MO",2,"TU",3,"WE",4,"TH",5,"FR",6,"SA",7,"SO")</f>
        <v>TU</v>
      </c>
      <c r="N22" s="137">
        <f t="shared" si="3"/>
        <v>0.73263888888888884</v>
      </c>
      <c r="O22" s="136">
        <v>0.51736111111111116</v>
      </c>
      <c r="P22" s="3" t="s">
        <v>73</v>
      </c>
    </row>
    <row r="23" spans="2:16">
      <c r="B23" s="131" t="s">
        <v>155</v>
      </c>
      <c r="C23" s="79" t="s">
        <v>153</v>
      </c>
      <c r="D23" s="41" t="s">
        <v>167</v>
      </c>
      <c r="E23" s="111">
        <v>0.65277777777777779</v>
      </c>
      <c r="F23" s="54">
        <v>0.59375</v>
      </c>
      <c r="G23" s="112"/>
      <c r="K23" s="142" t="s">
        <v>138</v>
      </c>
      <c r="L23" s="138" t="s">
        <v>160</v>
      </c>
      <c r="M23" s="134" t="str" cm="1">
        <f t="array" ref="M23">_xlfn.SWITCH(WEEKDAY(($M$2+N23),2),1,"MO",2,"TU",3,"WE",4,"TH",5,"FR",6,"SA",7,"SO")</f>
        <v>WE</v>
      </c>
      <c r="N23" s="137">
        <f t="shared" si="3"/>
        <v>1.25</v>
      </c>
      <c r="O23" s="137">
        <v>3.125E-2</v>
      </c>
      <c r="P23" s="3"/>
    </row>
    <row r="24" spans="2:16">
      <c r="B24" s="143" t="s">
        <v>177</v>
      </c>
      <c r="C24" t="s">
        <v>258</v>
      </c>
      <c r="D24" s="41" t="s">
        <v>167</v>
      </c>
      <c r="E24" s="111">
        <v>0.6875</v>
      </c>
      <c r="F24" s="54">
        <v>1.0416666666666666E-2</v>
      </c>
      <c r="K24" s="142" t="s">
        <v>138</v>
      </c>
      <c r="L24" s="138" t="s">
        <v>161</v>
      </c>
      <c r="M24" s="134" t="str" cm="1">
        <f t="array" ref="M24">_xlfn.SWITCH(WEEKDAY(($M$2+N24),2),1,"MO",2,"TU",3,"WE",4,"TH",5,"FR",6,"SA",7,"SO")</f>
        <v>WE</v>
      </c>
      <c r="N24" s="137">
        <f t="shared" si="3"/>
        <v>1.28125</v>
      </c>
      <c r="O24" s="137">
        <v>3.125E-2</v>
      </c>
      <c r="P24" s="3"/>
    </row>
    <row r="25" spans="2:16">
      <c r="B25" s="143" t="s">
        <v>177</v>
      </c>
      <c r="C25" t="s">
        <v>259</v>
      </c>
      <c r="D25" s="41" t="s">
        <v>167</v>
      </c>
      <c r="E25" s="111">
        <v>0.69791666666666663</v>
      </c>
      <c r="F25" s="54">
        <v>2.0833333333333332E-2</v>
      </c>
      <c r="G25" s="112"/>
      <c r="H25" s="147"/>
      <c r="K25" s="142" t="s">
        <v>138</v>
      </c>
      <c r="L25" s="138" t="s">
        <v>162</v>
      </c>
      <c r="M25" s="134" t="str" cm="1">
        <f t="array" ref="M25">_xlfn.SWITCH(WEEKDAY(($M$2+N25),2),1,"MO",2,"TU",3,"WE",4,"TH",5,"FR",6,"SA",7,"SO")</f>
        <v>WE</v>
      </c>
      <c r="N25" s="137">
        <f>N24+O24</f>
        <v>1.3125</v>
      </c>
      <c r="O25" s="137">
        <v>2.0833333333333332E-2</v>
      </c>
      <c r="P25" s="3"/>
    </row>
    <row r="26" spans="2:16">
      <c r="B26" s="143" t="s">
        <v>177</v>
      </c>
      <c r="C26" t="s">
        <v>157</v>
      </c>
      <c r="D26" s="41" t="s">
        <v>167</v>
      </c>
      <c r="E26" s="53">
        <v>0.71875</v>
      </c>
      <c r="F26" s="54">
        <v>8.3333333333333329E-2</v>
      </c>
      <c r="G26" s="112"/>
      <c r="H26" s="147"/>
      <c r="K26" s="142" t="s">
        <v>138</v>
      </c>
      <c r="L26" s="138" t="s">
        <v>56</v>
      </c>
      <c r="M26" s="134" t="str" cm="1">
        <f t="array" ref="M26">_xlfn.SWITCH(WEEKDAY(($M$2+N26),2),1,"MO",2,"TU",3,"WE",4,"TH",5,"FR",6,"SA",7,"SO")</f>
        <v>WE</v>
      </c>
      <c r="N26" s="137">
        <f>N25+O25</f>
        <v>1.3333333333333333</v>
      </c>
      <c r="O26" s="137"/>
      <c r="P26" s="3"/>
    </row>
    <row r="27" spans="2:16">
      <c r="B27" s="142" t="s">
        <v>138</v>
      </c>
      <c r="C27" s="79" t="s">
        <v>260</v>
      </c>
      <c r="D27" s="41" t="s">
        <v>167</v>
      </c>
      <c r="E27" s="116">
        <v>0.71944444444444444</v>
      </c>
      <c r="F27" s="54">
        <v>3.125E-2</v>
      </c>
      <c r="G27" s="112"/>
      <c r="H27" s="147"/>
      <c r="K27" s="58" t="s">
        <v>62</v>
      </c>
      <c r="L27" s="133" t="s">
        <v>68</v>
      </c>
      <c r="M27" s="134" t="str" cm="1">
        <f t="array" ref="M27">_xlfn.SWITCH(WEEKDAY(($M$2+N27),2),1,"MO",2,"TU",3,"WE",4,"TH",5,"FR",6,"SA",7,"SO")</f>
        <v>TU</v>
      </c>
      <c r="N27" s="135">
        <v>0.53125</v>
      </c>
      <c r="O27" s="137">
        <v>2.0833333333333332E-2</v>
      </c>
      <c r="P27"/>
    </row>
    <row r="28" spans="2:16">
      <c r="B28" s="142" t="s">
        <v>138</v>
      </c>
      <c r="C28" s="79" t="s">
        <v>268</v>
      </c>
      <c r="D28" s="41" t="s">
        <v>167</v>
      </c>
      <c r="E28" s="111">
        <v>0.75</v>
      </c>
      <c r="F28" s="54">
        <v>1.3888888888888888E-2</v>
      </c>
      <c r="G28" s="112"/>
      <c r="H28" s="147"/>
      <c r="K28" s="58" t="s">
        <v>62</v>
      </c>
      <c r="L28" s="133" t="s">
        <v>69</v>
      </c>
      <c r="M28" s="134" t="str" cm="1">
        <f t="array" ref="M28">_xlfn.SWITCH(WEEKDAY(($M$2+N28),2),1,"MO",2,"TU",3,"WE",4,"TH",5,"FR",6,"SA",7,"SO")</f>
        <v>TU</v>
      </c>
      <c r="N28" s="137">
        <f t="shared" ref="N28:N31" si="4">N27+O27</f>
        <v>0.55208333333333337</v>
      </c>
      <c r="O28" s="136">
        <v>0.33333333333333331</v>
      </c>
      <c r="P28" t="s">
        <v>70</v>
      </c>
    </row>
    <row r="29" spans="2:16">
      <c r="B29" s="142" t="s">
        <v>138</v>
      </c>
      <c r="C29" s="79" t="s">
        <v>267</v>
      </c>
      <c r="D29" s="41" t="s">
        <v>167</v>
      </c>
      <c r="E29" s="111">
        <v>0.76388888888888884</v>
      </c>
      <c r="F29" s="54">
        <v>0.50694444444444442</v>
      </c>
      <c r="G29" s="112"/>
      <c r="K29" s="58" t="s">
        <v>62</v>
      </c>
      <c r="L29" s="133" t="s">
        <v>71</v>
      </c>
      <c r="M29" s="134" t="str" cm="1">
        <f t="array" ref="M29">_xlfn.SWITCH(WEEKDAY(($M$2+N29),2),1,"MO",2,"TU",3,"WE",4,"TH",5,"FR",6,"SA",7,"SO")</f>
        <v>TU</v>
      </c>
      <c r="N29" s="137">
        <f t="shared" si="4"/>
        <v>0.88541666666666674</v>
      </c>
      <c r="O29" s="137">
        <v>6.9444444444444441E-3</v>
      </c>
      <c r="P29"/>
    </row>
    <row r="30" spans="2:16">
      <c r="B30" s="143" t="s">
        <v>177</v>
      </c>
      <c r="C30" s="79" t="s">
        <v>267</v>
      </c>
      <c r="D30" s="41" t="s">
        <v>167</v>
      </c>
      <c r="E30" s="53">
        <v>0.80208333333333337</v>
      </c>
      <c r="F30" s="54">
        <v>1.0416666666666666E-2</v>
      </c>
      <c r="G30" s="112"/>
      <c r="K30" s="58" t="s">
        <v>62</v>
      </c>
      <c r="L30" s="133" t="s">
        <v>72</v>
      </c>
      <c r="M30" s="134" t="str" cm="1">
        <f t="array" ref="M30">_xlfn.SWITCH(WEEKDAY(($M$2+N30),2),1,"MO",2,"TU",3,"WE",4,"TH",5,"FR",6,"SA",7,"SO")</f>
        <v>TU</v>
      </c>
      <c r="N30" s="137">
        <f t="shared" si="4"/>
        <v>0.89236111111111116</v>
      </c>
      <c r="O30" s="136">
        <v>0.58333333333333337</v>
      </c>
      <c r="P30" t="s">
        <v>70</v>
      </c>
    </row>
    <row r="31" spans="2:16" ht="17" thickBot="1">
      <c r="B31" s="176" t="s">
        <v>210</v>
      </c>
      <c r="C31" s="177" t="s">
        <v>274</v>
      </c>
      <c r="D31" s="139" t="s">
        <v>167</v>
      </c>
      <c r="E31" s="140">
        <v>0.91041666666666665</v>
      </c>
      <c r="F31" s="141"/>
      <c r="G31" s="112"/>
      <c r="H31" s="147"/>
      <c r="K31" s="58" t="s">
        <v>62</v>
      </c>
      <c r="L31" s="133" t="s">
        <v>173</v>
      </c>
      <c r="M31" s="134" t="str" cm="1">
        <f t="array" ref="M31">_xlfn.SWITCH(WEEKDAY(($M$2+N31),2),1,"MO",2,"TU",3,"WE",4,"TH",5,"FR",6,"SA",7,"SO")</f>
        <v>WE</v>
      </c>
      <c r="N31" s="137">
        <f t="shared" si="4"/>
        <v>1.4756944444444446</v>
      </c>
      <c r="O31" s="137">
        <v>1.0416666666666666E-2</v>
      </c>
      <c r="P31"/>
    </row>
    <row r="32" spans="2:16" ht="17" thickTop="1">
      <c r="B32" s="148" t="s">
        <v>192</v>
      </c>
      <c r="C32" s="57" t="s">
        <v>263</v>
      </c>
      <c r="D32" s="41" t="s">
        <v>169</v>
      </c>
      <c r="E32" s="111">
        <v>0.2361111111111111</v>
      </c>
      <c r="F32" s="54">
        <v>1.3888888888888888E-2</v>
      </c>
      <c r="G32" s="112"/>
      <c r="H32" s="53"/>
      <c r="K32" s="108" t="s">
        <v>155</v>
      </c>
      <c r="L32" s="138" t="s">
        <v>148</v>
      </c>
      <c r="M32" s="134" t="str" cm="1">
        <f t="array" ref="M32">_xlfn.SWITCH(WEEKDAY(($M$2+N32),2),1,"MO",2,"TU",3,"WE",4,"TH",5,"FR",6,"SA",7,"SO")</f>
        <v>TU</v>
      </c>
      <c r="N32" s="135">
        <v>0.52083333333333337</v>
      </c>
      <c r="O32" s="137">
        <v>5.2083333333333336E-2</v>
      </c>
    </row>
    <row r="33" spans="2:17">
      <c r="B33" s="148" t="s">
        <v>192</v>
      </c>
      <c r="C33" s="57" t="s">
        <v>269</v>
      </c>
      <c r="D33" s="41" t="s">
        <v>169</v>
      </c>
      <c r="E33" s="111">
        <v>0.25</v>
      </c>
      <c r="F33" s="54">
        <v>2.0833333333333332E-2</v>
      </c>
      <c r="G33" s="169"/>
      <c r="H33" s="124"/>
      <c r="K33" s="108" t="s">
        <v>155</v>
      </c>
      <c r="L33" s="138" t="s">
        <v>149</v>
      </c>
      <c r="M33" s="134" t="str" cm="1">
        <f t="array" ref="M33">_xlfn.SWITCH(WEEKDAY(($M$2+N33),2),1,"MO",2,"TU",3,"WE",4,"TH",5,"FR",6,"SA",7,"SO")</f>
        <v>TU</v>
      </c>
      <c r="N33" s="137">
        <f>N32+(0.18/24)</f>
        <v>0.52833333333333332</v>
      </c>
      <c r="O33" s="137">
        <v>6.9444444444444441E-3</v>
      </c>
    </row>
    <row r="34" spans="2:17">
      <c r="B34" s="131" t="s">
        <v>155</v>
      </c>
      <c r="C34" s="79" t="s">
        <v>55</v>
      </c>
      <c r="D34" s="41" t="s">
        <v>169</v>
      </c>
      <c r="E34" s="111">
        <v>0.2638888888888889</v>
      </c>
      <c r="F34" s="54">
        <v>1.3888888888888888E-2</v>
      </c>
      <c r="G34" s="112"/>
      <c r="H34" s="124"/>
      <c r="K34" s="108" t="s">
        <v>155</v>
      </c>
      <c r="L34" s="138" t="s">
        <v>150</v>
      </c>
      <c r="M34" s="134" t="str" cm="1">
        <f t="array" ref="M34">_xlfn.SWITCH(WEEKDAY(($M$2+N34),2),1,"MO",2,"TU",3,"WE",4,"TH",5,"FR",6,"SA",7,"SO")</f>
        <v>TU</v>
      </c>
      <c r="N34" s="137">
        <f>N32+O32</f>
        <v>0.57291666666666674</v>
      </c>
      <c r="O34" s="137">
        <v>1.3888888888888888E-2</v>
      </c>
    </row>
    <row r="35" spans="2:17">
      <c r="B35" s="131" t="s">
        <v>155</v>
      </c>
      <c r="C35" s="79" t="s">
        <v>211</v>
      </c>
      <c r="D35" s="41" t="s">
        <v>169</v>
      </c>
      <c r="E35" s="115">
        <v>0.27430555555555558</v>
      </c>
      <c r="F35" s="54">
        <v>1.3888888888888888E-2</v>
      </c>
      <c r="G35" s="112"/>
      <c r="H35" s="124"/>
      <c r="K35" s="108" t="s">
        <v>155</v>
      </c>
      <c r="L35" s="138" t="s">
        <v>151</v>
      </c>
      <c r="M35" s="134" t="str" cm="1">
        <f t="array" ref="M35">_xlfn.SWITCH(WEEKDAY(($M$2+N35),2),1,"MO",2,"TU",3,"WE",4,"TH",5,"FR",6,"SA",7,"SO")</f>
        <v>TU</v>
      </c>
      <c r="N35" s="137">
        <f t="shared" ref="N35:N37" si="5">N34+O34</f>
        <v>0.58680555555555558</v>
      </c>
      <c r="O35" s="137">
        <v>1.3888888888888888E-2</v>
      </c>
    </row>
    <row r="36" spans="2:17">
      <c r="B36" s="143" t="s">
        <v>177</v>
      </c>
      <c r="C36" t="s">
        <v>270</v>
      </c>
      <c r="D36" s="41" t="s">
        <v>169</v>
      </c>
      <c r="E36" s="50">
        <v>0.33333333333333331</v>
      </c>
      <c r="F36" s="54">
        <v>4.1666666666666664E-2</v>
      </c>
      <c r="H36" s="124"/>
      <c r="K36" s="108" t="s">
        <v>155</v>
      </c>
      <c r="L36" s="138" t="s">
        <v>152</v>
      </c>
      <c r="M36" s="134" t="str" cm="1">
        <f t="array" ref="M36">_xlfn.SWITCH(WEEKDAY(($M$2+N36),2),1,"MO",2,"TU",3,"WE",4,"TH",5,"FR",6,"SA",7,"SO")</f>
        <v>TU</v>
      </c>
      <c r="N36" s="137">
        <f t="shared" si="5"/>
        <v>0.60069444444444442</v>
      </c>
      <c r="O36" s="137">
        <v>1.3888888888888888E-2</v>
      </c>
    </row>
    <row r="37" spans="2:17">
      <c r="B37" s="148" t="s">
        <v>192</v>
      </c>
      <c r="C37" s="57" t="s">
        <v>191</v>
      </c>
      <c r="D37" s="41" t="s">
        <v>169</v>
      </c>
      <c r="E37" s="111">
        <v>0.27500000000000002</v>
      </c>
      <c r="F37" s="54">
        <v>1.3888888888888888E-2</v>
      </c>
      <c r="G37" s="169"/>
      <c r="K37" s="108" t="s">
        <v>155</v>
      </c>
      <c r="L37" s="138" t="s">
        <v>174</v>
      </c>
      <c r="M37" s="134" t="str" cm="1">
        <f t="array" ref="M37">_xlfn.SWITCH(WEEKDAY(($M$2+N37),2),1,"MO",2,"TU",3,"WE",4,"TH",5,"FR",6,"SA",7,"SO")</f>
        <v>TU</v>
      </c>
      <c r="N37" s="137">
        <f t="shared" si="5"/>
        <v>0.61458333333333326</v>
      </c>
      <c r="O37" s="136">
        <v>0.59375</v>
      </c>
      <c r="P37" s="4" t="s">
        <v>73</v>
      </c>
    </row>
    <row r="38" spans="2:17">
      <c r="B38" s="148" t="s">
        <v>192</v>
      </c>
      <c r="C38" s="57" t="s">
        <v>262</v>
      </c>
      <c r="D38" s="41" t="s">
        <v>169</v>
      </c>
      <c r="E38" s="111">
        <v>0.28472222222222221</v>
      </c>
      <c r="F38" s="54">
        <v>4.1666666666666664E-2</v>
      </c>
      <c r="G38" s="112"/>
      <c r="H38" s="124"/>
      <c r="K38" s="108" t="s">
        <v>155</v>
      </c>
      <c r="L38" t="s">
        <v>55</v>
      </c>
      <c r="M38" s="134" t="str" cm="1">
        <f t="array" ref="M38">_xlfn.SWITCH(WEEKDAY(($M$2+N38),2),1,"MO",2,"TU",3,"WE",4,"TH",5,"FR",6,"SA",7,"SO")</f>
        <v>WE</v>
      </c>
      <c r="N38" s="137">
        <f>N37+O37</f>
        <v>1.2083333333333333</v>
      </c>
      <c r="O38" s="137">
        <v>2.0833333333333332E-2</v>
      </c>
    </row>
    <row r="39" spans="2:17">
      <c r="B39" s="131" t="s">
        <v>155</v>
      </c>
      <c r="C39" s="155" t="s">
        <v>207</v>
      </c>
      <c r="D39" s="41" t="s">
        <v>169</v>
      </c>
      <c r="E39" s="111">
        <v>0.29166666666666669</v>
      </c>
      <c r="F39" s="54">
        <v>2.0833333333333332E-2</v>
      </c>
      <c r="K39" s="108" t="s">
        <v>155</v>
      </c>
      <c r="L39" s="138" t="s">
        <v>154</v>
      </c>
      <c r="M39" s="134" t="str" cm="1">
        <f t="array" ref="M39">_xlfn.SWITCH(WEEKDAY(($M$2+N39),2),1,"MO",2,"TU",3,"WE",4,"TH",5,"FR",6,"SA",7,"SO")</f>
        <v>WE</v>
      </c>
      <c r="N39" s="137">
        <f>N38+O38</f>
        <v>1.2291666666666665</v>
      </c>
      <c r="O39" s="137">
        <v>1.3888888888888888E-2</v>
      </c>
    </row>
    <row r="40" spans="2:17">
      <c r="B40" s="131" t="s">
        <v>155</v>
      </c>
      <c r="C40" s="79" t="s">
        <v>56</v>
      </c>
      <c r="D40" s="41" t="s">
        <v>169</v>
      </c>
      <c r="E40" s="111">
        <v>0.3125</v>
      </c>
      <c r="F40" s="54"/>
      <c r="G40" s="174"/>
      <c r="H40" s="124"/>
      <c r="K40" s="108" t="s">
        <v>155</v>
      </c>
      <c r="L40" s="138" t="s">
        <v>130</v>
      </c>
      <c r="M40" s="134" t="str" cm="1">
        <f t="array" ref="M40">_xlfn.SWITCH(WEEKDAY(($M$2+N40),2),1,"MO",2,"TU",3,"WE",4,"TH",5,"FR",6,"SA",7,"SO")</f>
        <v>WE</v>
      </c>
      <c r="N40" s="137">
        <f t="shared" ref="N40" si="6">N39+O39</f>
        <v>1.2430555555555554</v>
      </c>
      <c r="O40" s="137">
        <v>1.3888888888888888E-2</v>
      </c>
    </row>
    <row r="41" spans="2:17">
      <c r="B41" s="142" t="s">
        <v>138</v>
      </c>
      <c r="C41" s="79" t="s">
        <v>55</v>
      </c>
      <c r="D41" s="41" t="s">
        <v>169</v>
      </c>
      <c r="E41" s="111">
        <v>0.31597222222222221</v>
      </c>
      <c r="F41" s="54">
        <v>3.125E-2</v>
      </c>
      <c r="K41" s="108" t="s">
        <v>155</v>
      </c>
      <c r="L41" s="138" t="s">
        <v>56</v>
      </c>
      <c r="M41" s="134" t="str" cm="1">
        <f t="array" ref="M41">_xlfn.SWITCH(WEEKDAY(($M$2+N41),2),1,"MO",2,"TU",3,"WE",4,"TH",5,"FR",6,"SA",7,"SO")</f>
        <v>WE</v>
      </c>
      <c r="N41" s="137">
        <f>N40+O40</f>
        <v>1.2569444444444442</v>
      </c>
      <c r="O41" s="137"/>
    </row>
    <row r="42" spans="2:17">
      <c r="B42" s="148" t="s">
        <v>192</v>
      </c>
      <c r="C42" s="155" t="s">
        <v>261</v>
      </c>
      <c r="D42" s="41" t="s">
        <v>169</v>
      </c>
      <c r="E42" s="111">
        <v>0.3263888888888889</v>
      </c>
      <c r="F42" s="54">
        <v>2.0833333333333332E-2</v>
      </c>
      <c r="G42" s="112"/>
      <c r="K42" s="143" t="s">
        <v>175</v>
      </c>
      <c r="L42" s="133" t="s">
        <v>156</v>
      </c>
      <c r="M42" s="134" t="str" cm="1">
        <f t="array" ref="M42">_xlfn.SWITCH(WEEKDAY(($M$2+N42),2),1,"MO",2,"TU",3,"WE",4,"TH",5,"FR",6,"SA",7,"SO")</f>
        <v>TU</v>
      </c>
      <c r="N42" s="135">
        <v>0.6875</v>
      </c>
      <c r="O42" s="137">
        <v>1.3888888888888888E-2</v>
      </c>
    </row>
    <row r="43" spans="2:17">
      <c r="B43" s="142" t="s">
        <v>138</v>
      </c>
      <c r="C43" s="79" t="s">
        <v>271</v>
      </c>
      <c r="D43" s="41" t="s">
        <v>169</v>
      </c>
      <c r="E43" s="111">
        <v>0.34722222222222221</v>
      </c>
      <c r="F43" s="54">
        <v>2.0833333333333332E-2</v>
      </c>
      <c r="G43" s="174"/>
      <c r="K43" s="143" t="s">
        <v>175</v>
      </c>
      <c r="L43" s="133" t="s">
        <v>157</v>
      </c>
      <c r="M43" s="134" t="str" cm="1">
        <f t="array" ref="M43">_xlfn.SWITCH(WEEKDAY(($M$2+N43),2),1,"MO",2,"TU",3,"WE",4,"TH",5,"FR",6,"SA",7,"SO")</f>
        <v>TU</v>
      </c>
      <c r="N43" s="137">
        <f t="shared" ref="N43:N46" si="7">N42+O42</f>
        <v>0.70138888888888884</v>
      </c>
      <c r="O43" s="137">
        <v>8.3333333333333329E-2</v>
      </c>
      <c r="Q43" s="129"/>
    </row>
    <row r="44" spans="2:17">
      <c r="B44" s="132" t="s">
        <v>140</v>
      </c>
      <c r="C44" s="23" t="s">
        <v>206</v>
      </c>
      <c r="D44" s="156" t="s">
        <v>169</v>
      </c>
      <c r="E44" s="111">
        <v>0.35416666666666669</v>
      </c>
      <c r="F44" s="54">
        <v>4.1666666666666664E-2</v>
      </c>
      <c r="H44" s="124"/>
      <c r="K44" s="143" t="s">
        <v>175</v>
      </c>
      <c r="L44" s="133" t="s">
        <v>180</v>
      </c>
      <c r="M44" s="134" t="str" cm="1">
        <f t="array" ref="M44">_xlfn.SWITCH(WEEKDAY(($M$2+N44),2),1,"MO",2,"TU",3,"WE",4,"TH",5,"FR",6,"SA",7,"SO")</f>
        <v>TU</v>
      </c>
      <c r="N44" s="137">
        <f t="shared" si="7"/>
        <v>0.78472222222222221</v>
      </c>
      <c r="O44" s="137">
        <v>5.2083333333333336E-2</v>
      </c>
    </row>
    <row r="45" spans="2:17">
      <c r="B45" s="132" t="s">
        <v>140</v>
      </c>
      <c r="C45" s="79" t="s">
        <v>56</v>
      </c>
      <c r="D45" s="41" t="s">
        <v>169</v>
      </c>
      <c r="E45" s="50">
        <v>0.35416666666666669</v>
      </c>
      <c r="F45" s="54"/>
      <c r="G45" s="174"/>
      <c r="K45" s="143" t="s">
        <v>175</v>
      </c>
      <c r="L45" s="133" t="s">
        <v>176</v>
      </c>
      <c r="M45" s="134" t="str" cm="1">
        <f t="array" ref="M45">_xlfn.SWITCH(WEEKDAY(($M$2+N45),2),1,"MO",2,"TU",3,"WE",4,"TH",5,"FR",6,"SA",7,"SO")</f>
        <v>TU</v>
      </c>
      <c r="N45" s="137">
        <f t="shared" si="7"/>
        <v>0.83680555555555558</v>
      </c>
      <c r="O45" s="137">
        <v>1.3888888888888888E-2</v>
      </c>
    </row>
    <row r="46" spans="2:17">
      <c r="B46" s="142" t="s">
        <v>138</v>
      </c>
      <c r="C46" s="79" t="s">
        <v>161</v>
      </c>
      <c r="D46" s="41" t="s">
        <v>169</v>
      </c>
      <c r="E46" s="53">
        <v>0.36805555555555558</v>
      </c>
      <c r="F46" s="54">
        <v>2.0833333333333332E-2</v>
      </c>
      <c r="G46" s="112"/>
      <c r="H46" s="124"/>
      <c r="K46" s="143" t="s">
        <v>175</v>
      </c>
      <c r="L46" s="133" t="s">
        <v>158</v>
      </c>
      <c r="M46" s="134" t="str" cm="1">
        <f t="array" ref="M46">_xlfn.SWITCH(WEEKDAY(($M$2+N46),2),1,"MO",2,"TU",3,"WE",4,"TH",5,"FR",6,"SA",7,"SO")</f>
        <v>TU</v>
      </c>
      <c r="N46" s="137">
        <f t="shared" si="7"/>
        <v>0.85069444444444442</v>
      </c>
      <c r="O46" s="137">
        <v>3.125E-2</v>
      </c>
    </row>
    <row r="47" spans="2:17">
      <c r="B47" s="142" t="s">
        <v>138</v>
      </c>
      <c r="C47" s="149" t="s">
        <v>208</v>
      </c>
      <c r="D47" s="41" t="s">
        <v>169</v>
      </c>
      <c r="E47" s="53">
        <v>0.3888888888888889</v>
      </c>
      <c r="F47" s="54">
        <v>2.0833333333333332E-2</v>
      </c>
      <c r="K47" s="143" t="s">
        <v>175</v>
      </c>
      <c r="L47" s="133" t="s">
        <v>56</v>
      </c>
      <c r="M47" s="134" t="str" cm="1">
        <f t="array" ref="M47">_xlfn.SWITCH(WEEKDAY(($M$2+N47),2),1,"MO",2,"TU",3,"WE",4,"TH",5,"FR",6,"SA",7,"SO")</f>
        <v>TU</v>
      </c>
      <c r="N47" s="137">
        <f>N46+O46</f>
        <v>0.88194444444444442</v>
      </c>
      <c r="O47" s="137"/>
    </row>
    <row r="48" spans="2:17">
      <c r="B48" s="142" t="s">
        <v>138</v>
      </c>
      <c r="C48" s="79" t="s">
        <v>56</v>
      </c>
      <c r="D48" s="41" t="s">
        <v>169</v>
      </c>
      <c r="E48" s="53">
        <v>0.40972222222222221</v>
      </c>
      <c r="F48" s="54"/>
      <c r="H48" s="124"/>
      <c r="K48" s="144" t="s">
        <v>177</v>
      </c>
      <c r="L48" s="133" t="s">
        <v>156</v>
      </c>
      <c r="M48" s="134" t="str" cm="1">
        <f t="array" ref="M48">_xlfn.SWITCH(WEEKDAY(($M$2+N48),2),1,"MO",2,"TU",3,"WE",4,"TH",5,"FR",6,"SA",7,"SO")</f>
        <v>TU</v>
      </c>
      <c r="N48" s="135">
        <v>0.6875</v>
      </c>
      <c r="O48" s="137">
        <v>1.3888888888888888E-2</v>
      </c>
    </row>
    <row r="49" spans="2:16">
      <c r="B49" s="143" t="s">
        <v>177</v>
      </c>
      <c r="C49" t="s">
        <v>272</v>
      </c>
      <c r="D49" s="41" t="s">
        <v>169</v>
      </c>
      <c r="E49" s="111">
        <v>0.4375</v>
      </c>
      <c r="F49" s="54">
        <v>2.0833333333333332E-2</v>
      </c>
      <c r="H49" s="124"/>
      <c r="K49" s="144" t="s">
        <v>177</v>
      </c>
      <c r="L49" s="133" t="s">
        <v>166</v>
      </c>
      <c r="M49" s="134" t="str" cm="1">
        <f t="array" ref="M49">_xlfn.SWITCH(WEEKDAY(($M$2+N49),2),1,"MO",2,"TU",3,"WE",4,"TH",5,"FR",6,"SA",7,"SO")</f>
        <v>TU</v>
      </c>
      <c r="N49" s="137">
        <f t="shared" ref="N49:N53" si="8">N48+O48</f>
        <v>0.70138888888888884</v>
      </c>
      <c r="O49" s="137">
        <v>8.3333333333333329E-2</v>
      </c>
    </row>
    <row r="50" spans="2:16">
      <c r="B50" s="143" t="s">
        <v>177</v>
      </c>
      <c r="C50" s="23" t="s">
        <v>273</v>
      </c>
      <c r="D50" s="41" t="s">
        <v>169</v>
      </c>
      <c r="E50" s="116">
        <v>0.45833333333333331</v>
      </c>
      <c r="F50" s="54">
        <v>3.125E-2</v>
      </c>
      <c r="K50" s="144" t="s">
        <v>177</v>
      </c>
      <c r="L50" s="133" t="s">
        <v>178</v>
      </c>
      <c r="M50" s="134" t="str" cm="1">
        <f t="array" ref="M50">_xlfn.SWITCH(WEEKDAY(($M$2+N50),2),1,"MO",2,"TU",3,"WE",4,"TH",5,"FR",6,"SA",7,"SO")</f>
        <v>TU</v>
      </c>
      <c r="N50" s="137">
        <f>N49+O49</f>
        <v>0.78472222222222221</v>
      </c>
      <c r="O50" s="136">
        <v>0.4548611111111111</v>
      </c>
      <c r="P50" s="4" t="s">
        <v>179</v>
      </c>
    </row>
    <row r="51" spans="2:16">
      <c r="B51" s="143" t="s">
        <v>177</v>
      </c>
      <c r="C51" t="s">
        <v>56</v>
      </c>
      <c r="D51" s="41" t="s">
        <v>169</v>
      </c>
      <c r="E51" s="111">
        <v>0.48958333333333331</v>
      </c>
      <c r="F51" s="54"/>
      <c r="H51" s="124"/>
      <c r="K51" s="144" t="s">
        <v>177</v>
      </c>
      <c r="L51" s="133" t="s">
        <v>193</v>
      </c>
      <c r="M51" s="134" t="str" cm="1">
        <f t="array" ref="M51">_xlfn.SWITCH(WEEKDAY(($M$2+N51),2),1,"MO",2,"TU",3,"WE",4,"TH",5,"FR",6,"SA",7,"SO")</f>
        <v>WE</v>
      </c>
      <c r="N51" s="137">
        <f>N50+O50</f>
        <v>1.2395833333333333</v>
      </c>
      <c r="O51" s="137">
        <v>4.1666666666666664E-2</v>
      </c>
    </row>
    <row r="52" spans="2:16">
      <c r="B52" s="49"/>
      <c r="C52" s="149"/>
      <c r="D52" s="41"/>
      <c r="E52" s="53"/>
      <c r="F52" s="54"/>
      <c r="H52" s="124"/>
      <c r="K52" s="144" t="s">
        <v>177</v>
      </c>
      <c r="L52" s="133" t="s">
        <v>194</v>
      </c>
      <c r="M52" s="134" t="str" cm="1">
        <f t="array" ref="M52">_xlfn.SWITCH(WEEKDAY(($M$2+N52),2),1,"MO",2,"TU",3,"WE",4,"TH",5,"FR",6,"SA",7,"SO")</f>
        <v>WE</v>
      </c>
      <c r="N52" s="137">
        <f t="shared" si="8"/>
        <v>1.28125</v>
      </c>
      <c r="O52" s="137">
        <v>4.1666666666666664E-2</v>
      </c>
    </row>
    <row r="53" spans="2:16">
      <c r="B53" s="49"/>
      <c r="C53" s="79"/>
      <c r="D53" s="41"/>
      <c r="E53" s="53"/>
      <c r="F53" s="54"/>
      <c r="G53" s="112"/>
      <c r="H53" s="124"/>
      <c r="K53" s="144" t="s">
        <v>177</v>
      </c>
      <c r="L53" s="133" t="s">
        <v>158</v>
      </c>
      <c r="M53" s="134" t="str" cm="1">
        <f t="array" ref="M53">_xlfn.SWITCH(WEEKDAY(($M$2+N53),2),1,"MO",2,"TU",3,"WE",4,"TH",5,"FR",6,"SA",7,"SO")</f>
        <v>WE</v>
      </c>
      <c r="N53" s="137">
        <f t="shared" si="8"/>
        <v>1.3229166666666667</v>
      </c>
      <c r="O53" s="137">
        <v>1.3888888888888888E-2</v>
      </c>
    </row>
    <row r="54" spans="2:16">
      <c r="B54" s="179"/>
      <c r="C54" s="180"/>
      <c r="D54" s="113"/>
      <c r="E54" s="111"/>
      <c r="F54" s="111"/>
      <c r="H54" s="124"/>
      <c r="K54" s="144" t="s">
        <v>177</v>
      </c>
      <c r="L54" s="133" t="s">
        <v>56</v>
      </c>
      <c r="M54" s="134" t="str" cm="1">
        <f t="array" ref="M54">_xlfn.SWITCH(WEEKDAY(($M$2+N54),2),1,"MO",2,"TU",3,"WE",4,"TH",5,"FR",6,"SA",7,"SO")</f>
        <v>WE</v>
      </c>
      <c r="N54" s="137">
        <f>N53+O53</f>
        <v>1.3368055555555556</v>
      </c>
      <c r="O54" s="137"/>
    </row>
    <row r="55" spans="2:16">
      <c r="D55" s="41"/>
      <c r="E55" s="111"/>
      <c r="F55" s="54"/>
      <c r="H55" s="124"/>
      <c r="K55" s="148" t="s">
        <v>192</v>
      </c>
      <c r="L55" s="138" t="s">
        <v>184</v>
      </c>
      <c r="M55" s="134" t="str" cm="1">
        <f t="array" ref="M55">_xlfn.SWITCH(WEEKDAY(($M$2+N55),2),1,"MO",2,"TU",3,"WE",4,"TH",5,"FR",6,"SA",7,"SO")</f>
        <v>TU</v>
      </c>
      <c r="N55" s="135">
        <v>0.54166666666666663</v>
      </c>
      <c r="O55" s="137">
        <v>5.2083333333333336E-2</v>
      </c>
      <c r="P55" s="3"/>
    </row>
    <row r="56" spans="2:16">
      <c r="D56" s="41"/>
      <c r="E56" s="116"/>
      <c r="F56" s="54"/>
      <c r="H56" s="124"/>
      <c r="K56" s="148" t="s">
        <v>192</v>
      </c>
      <c r="L56" s="138" t="s">
        <v>185</v>
      </c>
      <c r="M56" s="134" t="str" cm="1">
        <f t="array" ref="M56">_xlfn.SWITCH(WEEKDAY(($M$2+N56),2),1,"MO",2,"TU",3,"WE",4,"TH",5,"FR",6,"SA",7,"SO")</f>
        <v>TU</v>
      </c>
      <c r="N56" s="137">
        <f t="shared" ref="N56:N65" si="9">N55+O55</f>
        <v>0.59375</v>
      </c>
      <c r="O56" s="137">
        <v>1.3888888888888888E-2</v>
      </c>
      <c r="P56" s="3"/>
    </row>
    <row r="57" spans="2:16">
      <c r="D57" s="41"/>
      <c r="E57" s="111"/>
      <c r="F57" s="54"/>
      <c r="H57" s="124"/>
      <c r="K57" s="148" t="s">
        <v>192</v>
      </c>
      <c r="L57" s="138" t="s">
        <v>186</v>
      </c>
      <c r="M57" s="134" t="str" cm="1">
        <f t="array" ref="M57">_xlfn.SWITCH(WEEKDAY(($M$2+N57),2),1,"MO",2,"TU",3,"WE",4,"TH",5,"FR",6,"SA",7,"SO")</f>
        <v>TU</v>
      </c>
      <c r="N57" s="137">
        <f t="shared" si="9"/>
        <v>0.60763888888888884</v>
      </c>
      <c r="O57" s="137">
        <v>1.3888888888888888E-2</v>
      </c>
      <c r="P57" s="3"/>
    </row>
    <row r="58" spans="2:16">
      <c r="C58" s="79"/>
      <c r="D58" s="41"/>
      <c r="E58" s="111"/>
      <c r="F58" s="54"/>
      <c r="H58" s="124"/>
      <c r="K58" s="148" t="s">
        <v>192</v>
      </c>
      <c r="L58" s="138" t="s">
        <v>187</v>
      </c>
      <c r="M58" s="134" t="str" cm="1">
        <f t="array" ref="M58">_xlfn.SWITCH(WEEKDAY(($M$2+N58),2),1,"MO",2,"TU",3,"WE",4,"TH",5,"FR",6,"SA",7,"SO")</f>
        <v>TU</v>
      </c>
      <c r="N58" s="137">
        <f t="shared" si="9"/>
        <v>0.62152777777777768</v>
      </c>
      <c r="O58" s="137">
        <v>1.3888888888888888E-2</v>
      </c>
      <c r="P58" s="3"/>
    </row>
    <row r="59" spans="2:16">
      <c r="C59" s="149"/>
      <c r="D59" s="170"/>
      <c r="E59" s="171"/>
      <c r="F59" s="54"/>
      <c r="G59" s="112"/>
      <c r="H59" s="124"/>
      <c r="K59" s="148" t="s">
        <v>192</v>
      </c>
      <c r="L59" s="138" t="s">
        <v>174</v>
      </c>
      <c r="M59" s="134" t="str" cm="1">
        <f t="array" ref="M59">_xlfn.SWITCH(WEEKDAY(($M$2+N59),2),1,"MO",2,"TU",3,"WE",4,"TH",5,"FR",6,"SA",7,"SO")</f>
        <v>TU</v>
      </c>
      <c r="N59" s="137">
        <f t="shared" si="9"/>
        <v>0.63541666666666652</v>
      </c>
      <c r="O59" s="136">
        <v>0.55208333333333337</v>
      </c>
      <c r="P59" s="3" t="s">
        <v>73</v>
      </c>
    </row>
    <row r="60" spans="2:16">
      <c r="C60"/>
      <c r="D60" s="41"/>
      <c r="E60" s="50"/>
      <c r="F60" s="54"/>
      <c r="G60" s="112"/>
      <c r="K60" s="148" t="s">
        <v>192</v>
      </c>
      <c r="L60" s="138" t="s">
        <v>188</v>
      </c>
      <c r="M60" s="134" t="str" cm="1">
        <f t="array" ref="M60">_xlfn.SWITCH(WEEKDAY(($M$2+N60),2),1,"MO",2,"TU",3,"WE",4,"TH",5,"FR",6,"SA",7,"SO")</f>
        <v>WE</v>
      </c>
      <c r="N60" s="137">
        <f t="shared" si="9"/>
        <v>1.1875</v>
      </c>
      <c r="O60" s="137">
        <v>1.0416666666666666E-2</v>
      </c>
      <c r="P60" s="3"/>
    </row>
    <row r="61" spans="2:16">
      <c r="C61" s="150"/>
      <c r="D61" s="170"/>
      <c r="E61" s="172"/>
      <c r="F61" s="54"/>
      <c r="G61" s="112"/>
      <c r="H61" s="147"/>
      <c r="K61" s="148" t="s">
        <v>192</v>
      </c>
      <c r="L61" s="138" t="s">
        <v>189</v>
      </c>
      <c r="M61" s="134" t="str" cm="1">
        <f t="array" ref="M61">_xlfn.SWITCH(WEEKDAY(($M$2+N61),2),1,"MO",2,"TU",3,"WE",4,"TH",5,"FR",6,"SA",7,"SO")</f>
        <v>WE</v>
      </c>
      <c r="N61" s="137">
        <f t="shared" si="9"/>
        <v>1.1979166666666667</v>
      </c>
      <c r="O61" s="136">
        <v>2.0833333333333332E-2</v>
      </c>
      <c r="P61" s="3" t="s">
        <v>190</v>
      </c>
    </row>
    <row r="62" spans="2:16">
      <c r="B62" s="49"/>
      <c r="C62" s="79"/>
      <c r="D62" s="41"/>
      <c r="E62" s="53"/>
      <c r="F62" s="54"/>
      <c r="G62" s="112"/>
      <c r="K62" s="148" t="s">
        <v>192</v>
      </c>
      <c r="L62" s="138" t="s">
        <v>191</v>
      </c>
      <c r="M62" s="134" t="str" cm="1">
        <f t="array" ref="M62">_xlfn.SWITCH(WEEKDAY(($M$2+N62),2),1,"MO",2,"TU",3,"WE",4,"TH",5,"FR",6,"SA",7,"SO")</f>
        <v>WE</v>
      </c>
      <c r="N62" s="137">
        <f>N61+O61</f>
        <v>1.21875</v>
      </c>
      <c r="O62" s="137">
        <v>1.0416666666666666E-2</v>
      </c>
      <c r="P62" s="3"/>
    </row>
    <row r="63" spans="2:16">
      <c r="C63"/>
      <c r="D63" s="41"/>
      <c r="E63" s="50"/>
      <c r="F63" s="54"/>
      <c r="G63" s="150" t="s">
        <v>212</v>
      </c>
      <c r="K63" s="148" t="s">
        <v>192</v>
      </c>
      <c r="L63" s="138" t="s">
        <v>72</v>
      </c>
      <c r="M63" s="134" t="str" cm="1">
        <f t="array" ref="M63">_xlfn.SWITCH(WEEKDAY(($M$2+N63),2),1,"MO",2,"TU",3,"WE",4,"TH",5,"FR",6,"SA",7,"SO")</f>
        <v>WE</v>
      </c>
      <c r="N63" s="137">
        <f>N62+O62</f>
        <v>1.2291666666666667</v>
      </c>
      <c r="O63" s="136">
        <v>4.1666666666666664E-2</v>
      </c>
      <c r="P63" s="3" t="s">
        <v>7</v>
      </c>
    </row>
    <row r="64" spans="2:16">
      <c r="B64" s="173"/>
      <c r="C64" s="114"/>
      <c r="D64" s="117"/>
      <c r="E64" s="50"/>
      <c r="F64" s="54"/>
      <c r="G64"/>
      <c r="K64" s="148" t="s">
        <v>192</v>
      </c>
      <c r="L64" s="138" t="s">
        <v>195</v>
      </c>
      <c r="M64" s="134" t="str" cm="1">
        <f t="array" ref="M64">_xlfn.SWITCH(WEEKDAY(($M$2+N64),2),1,"MO",2,"TU",3,"WE",4,"TH",5,"FR",6,"SA",7,"SO")</f>
        <v>WE</v>
      </c>
      <c r="N64" s="137">
        <f t="shared" si="9"/>
        <v>1.2708333333333335</v>
      </c>
      <c r="O64" s="137">
        <v>1.7361111111111112E-2</v>
      </c>
      <c r="P64" s="3"/>
    </row>
    <row r="65" spans="2:16" ht="18">
      <c r="B65" s="173"/>
      <c r="C65" s="114"/>
      <c r="D65" s="117"/>
      <c r="E65" s="50"/>
      <c r="F65" s="54"/>
      <c r="G65" s="157" t="s">
        <v>213</v>
      </c>
      <c r="K65" s="148" t="s">
        <v>192</v>
      </c>
      <c r="L65" s="133" t="s">
        <v>56</v>
      </c>
      <c r="M65" s="134" t="str" cm="1">
        <f t="array" ref="M65">_xlfn.SWITCH(WEEKDAY(($M$2+N65),2),1,"MO",2,"TU",3,"WE",4,"TH",5,"FR",6,"SA",7,"SO")</f>
        <v>WE</v>
      </c>
      <c r="N65" s="137">
        <f t="shared" si="9"/>
        <v>1.2881944444444446</v>
      </c>
      <c r="O65" s="137"/>
      <c r="P65" s="3"/>
    </row>
    <row r="66" spans="2:16" ht="18">
      <c r="B66" s="173"/>
      <c r="D66" s="113"/>
      <c r="E66" s="111"/>
      <c r="F66" s="54"/>
      <c r="G66" s="158" t="s">
        <v>214</v>
      </c>
    </row>
    <row r="67" spans="2:16" ht="18">
      <c r="C67"/>
      <c r="D67" s="41"/>
      <c r="E67" s="50"/>
      <c r="F67" s="54"/>
      <c r="G67" s="158" t="s">
        <v>215</v>
      </c>
    </row>
    <row r="68" spans="2:16" ht="18">
      <c r="G68" s="158" t="s">
        <v>216</v>
      </c>
    </row>
    <row r="69" spans="2:16" ht="18">
      <c r="G69" s="157" t="s">
        <v>217</v>
      </c>
    </row>
    <row r="70" spans="2:16" ht="18">
      <c r="G70" s="158" t="s">
        <v>218</v>
      </c>
    </row>
    <row r="71" spans="2:16" ht="18">
      <c r="G71" s="157" t="s">
        <v>219</v>
      </c>
    </row>
    <row r="72" spans="2:16" ht="18">
      <c r="G72" s="158" t="s">
        <v>220</v>
      </c>
    </row>
    <row r="73" spans="2:16" ht="18">
      <c r="G73" s="157" t="s">
        <v>221</v>
      </c>
      <c r="M73" s="78"/>
    </row>
    <row r="74" spans="2:16" ht="18">
      <c r="G74" s="158" t="s">
        <v>222</v>
      </c>
    </row>
    <row r="75" spans="2:16" ht="18">
      <c r="G75" s="157" t="s">
        <v>223</v>
      </c>
    </row>
    <row r="76" spans="2:16" ht="18">
      <c r="G76" s="158" t="s">
        <v>224</v>
      </c>
    </row>
    <row r="77" spans="2:16" ht="18">
      <c r="G77" s="157" t="s">
        <v>225</v>
      </c>
    </row>
    <row r="78" spans="2:16" ht="18">
      <c r="G78" s="158" t="s">
        <v>226</v>
      </c>
    </row>
    <row r="79" spans="2:16" ht="18">
      <c r="G79" s="157" t="s">
        <v>227</v>
      </c>
    </row>
    <row r="80" spans="2:16" ht="18">
      <c r="G80" s="158" t="s">
        <v>228</v>
      </c>
    </row>
    <row r="81" spans="7:7" ht="18">
      <c r="G81" s="157" t="s">
        <v>229</v>
      </c>
    </row>
    <row r="82" spans="7:7" ht="18">
      <c r="G82" s="158" t="s">
        <v>230</v>
      </c>
    </row>
    <row r="83" spans="7:7" ht="18">
      <c r="G83" s="158" t="s">
        <v>231</v>
      </c>
    </row>
    <row r="84" spans="7:7" ht="18">
      <c r="G84" s="157" t="s">
        <v>232</v>
      </c>
    </row>
    <row r="85" spans="7:7" ht="18">
      <c r="G85" s="158" t="s">
        <v>233</v>
      </c>
    </row>
    <row r="86" spans="7:7" ht="18">
      <c r="G86" s="158" t="s">
        <v>234</v>
      </c>
    </row>
    <row r="87" spans="7:7" ht="18">
      <c r="G87" s="158" t="s">
        <v>235</v>
      </c>
    </row>
    <row r="88" spans="7:7" ht="18">
      <c r="G88" s="157" t="s">
        <v>236</v>
      </c>
    </row>
    <row r="89" spans="7:7" ht="18">
      <c r="G89" s="158" t="s">
        <v>237</v>
      </c>
    </row>
    <row r="90" spans="7:7" ht="18">
      <c r="G90" s="157" t="s">
        <v>238</v>
      </c>
    </row>
    <row r="91" spans="7:7" ht="18">
      <c r="G91" s="158" t="s">
        <v>239</v>
      </c>
    </row>
    <row r="92" spans="7:7" ht="18">
      <c r="G92" s="158" t="s">
        <v>240</v>
      </c>
    </row>
    <row r="93" spans="7:7" ht="18">
      <c r="G93" s="157" t="s">
        <v>241</v>
      </c>
    </row>
    <row r="94" spans="7:7" ht="18">
      <c r="G94" s="158" t="s">
        <v>242</v>
      </c>
    </row>
    <row r="95" spans="7:7" ht="18">
      <c r="G95" s="158" t="s">
        <v>243</v>
      </c>
    </row>
  </sheetData>
  <autoFilter ref="B2:H42" xr:uid="{0BA5423A-CDEF-1B48-987D-08D3567651E9}">
    <sortState xmlns:xlrd2="http://schemas.microsoft.com/office/spreadsheetml/2017/richdata2" ref="B3:H65">
      <sortCondition ref="D2:D65"/>
    </sortState>
  </autoFilter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44F2-D40E-D44E-A8F1-DEB03FD07077}">
  <sheetPr>
    <tabColor theme="2" tint="-9.9978637043366805E-2"/>
  </sheetPr>
  <dimension ref="B1:F36"/>
  <sheetViews>
    <sheetView showGridLines="0" workbookViewId="0">
      <selection activeCell="D6" sqref="D6"/>
    </sheetView>
  </sheetViews>
  <sheetFormatPr baseColWidth="10" defaultRowHeight="16"/>
  <cols>
    <col min="2" max="2" width="19.6640625" bestFit="1" customWidth="1"/>
    <col min="4" max="4" width="23.6640625" bestFit="1" customWidth="1"/>
    <col min="5" max="5" width="26.1640625" bestFit="1" customWidth="1"/>
    <col min="6" max="6" width="25.33203125" bestFit="1" customWidth="1"/>
  </cols>
  <sheetData>
    <row r="1" spans="2:6">
      <c r="B1" s="151" t="s">
        <v>60</v>
      </c>
      <c r="C1" s="151" t="s">
        <v>198</v>
      </c>
      <c r="D1" s="151" t="s">
        <v>199</v>
      </c>
      <c r="E1" s="151" t="s">
        <v>200</v>
      </c>
      <c r="F1" s="151" t="s">
        <v>203</v>
      </c>
    </row>
    <row r="2" spans="2:6">
      <c r="B2" s="152" t="s">
        <v>197</v>
      </c>
      <c r="C2" s="153">
        <f>30+60+60</f>
        <v>150</v>
      </c>
      <c r="D2" s="152" t="s">
        <v>205</v>
      </c>
      <c r="E2" s="152" t="s">
        <v>201</v>
      </c>
      <c r="F2" s="168"/>
    </row>
    <row r="3" spans="2:6">
      <c r="B3" s="152" t="s">
        <v>197</v>
      </c>
      <c r="C3" s="153">
        <v>180</v>
      </c>
      <c r="D3" s="152" t="s">
        <v>249</v>
      </c>
      <c r="E3" s="152" t="s">
        <v>250</v>
      </c>
      <c r="F3" s="168"/>
    </row>
    <row r="4" spans="2:6">
      <c r="B4" s="152" t="s">
        <v>202</v>
      </c>
      <c r="C4" s="153">
        <v>1355</v>
      </c>
      <c r="D4" s="152" t="s">
        <v>204</v>
      </c>
      <c r="E4" s="152" t="s">
        <v>244</v>
      </c>
      <c r="F4" s="168">
        <v>790</v>
      </c>
    </row>
    <row r="5" spans="2:6">
      <c r="B5" s="152" t="s">
        <v>245</v>
      </c>
      <c r="C5" s="153">
        <f>40+80+160</f>
        <v>280</v>
      </c>
      <c r="D5" s="152" t="s">
        <v>246</v>
      </c>
      <c r="E5" s="152" t="s">
        <v>244</v>
      </c>
      <c r="F5" s="168"/>
    </row>
    <row r="6" spans="2:6">
      <c r="B6" s="152" t="s">
        <v>245</v>
      </c>
      <c r="C6" s="153">
        <v>1200</v>
      </c>
      <c r="D6" s="152" t="s">
        <v>248</v>
      </c>
      <c r="E6" s="152" t="s">
        <v>251</v>
      </c>
      <c r="F6" s="168"/>
    </row>
    <row r="7" spans="2:6">
      <c r="B7" s="152"/>
      <c r="C7" s="153"/>
      <c r="D7" s="152" t="s">
        <v>252</v>
      </c>
      <c r="E7" s="152"/>
      <c r="F7" s="168">
        <v>657</v>
      </c>
    </row>
    <row r="8" spans="2:6">
      <c r="B8" s="152"/>
      <c r="C8" s="153"/>
      <c r="D8" s="152" t="s">
        <v>253</v>
      </c>
      <c r="E8" s="152"/>
      <c r="F8" s="168">
        <v>576</v>
      </c>
    </row>
    <row r="9" spans="2:6">
      <c r="B9" s="152" t="s">
        <v>202</v>
      </c>
      <c r="C9" s="153">
        <v>1802</v>
      </c>
      <c r="D9" s="152" t="s">
        <v>204</v>
      </c>
      <c r="E9" s="152"/>
      <c r="F9" s="168"/>
    </row>
    <row r="10" spans="2:6">
      <c r="B10" s="152"/>
      <c r="C10" s="153"/>
      <c r="D10" s="152"/>
      <c r="E10" s="152"/>
      <c r="F10" s="168"/>
    </row>
    <row r="11" spans="2:6">
      <c r="B11" s="152"/>
      <c r="C11" s="153"/>
      <c r="D11" s="152"/>
      <c r="E11" s="152"/>
      <c r="F11" s="168"/>
    </row>
    <row r="12" spans="2:6">
      <c r="B12" s="152"/>
      <c r="C12" s="153"/>
      <c r="D12" s="152"/>
      <c r="E12" s="152"/>
      <c r="F12" s="168"/>
    </row>
    <row r="13" spans="2:6">
      <c r="B13" s="152"/>
      <c r="C13" s="153"/>
      <c r="D13" s="152"/>
      <c r="E13" s="152"/>
      <c r="F13" s="168"/>
    </row>
    <row r="14" spans="2:6">
      <c r="B14" s="152"/>
      <c r="C14" s="153"/>
      <c r="D14" s="152"/>
      <c r="E14" s="152"/>
      <c r="F14" s="168"/>
    </row>
    <row r="15" spans="2:6">
      <c r="B15" s="152"/>
      <c r="C15" s="153"/>
      <c r="D15" s="152"/>
      <c r="E15" s="152"/>
      <c r="F15" s="168"/>
    </row>
    <row r="16" spans="2:6">
      <c r="B16" s="152"/>
      <c r="C16" s="153"/>
      <c r="D16" s="152"/>
      <c r="E16" s="152"/>
      <c r="F16" s="168"/>
    </row>
    <row r="17" spans="2:6">
      <c r="B17" s="152"/>
      <c r="C17" s="153"/>
      <c r="D17" s="152"/>
      <c r="E17" s="152"/>
      <c r="F17" s="168"/>
    </row>
    <row r="18" spans="2:6">
      <c r="B18" s="152"/>
      <c r="C18" s="153"/>
      <c r="D18" s="152"/>
      <c r="E18" s="152"/>
      <c r="F18" s="168"/>
    </row>
    <row r="19" spans="2:6">
      <c r="B19" s="152"/>
      <c r="C19" s="153"/>
      <c r="D19" s="152"/>
      <c r="E19" s="152"/>
      <c r="F19" s="168"/>
    </row>
    <row r="20" spans="2:6">
      <c r="B20" s="152"/>
      <c r="C20" s="154"/>
      <c r="D20" s="152"/>
      <c r="E20" s="152"/>
      <c r="F20" s="168"/>
    </row>
    <row r="21" spans="2:6">
      <c r="B21" s="152"/>
      <c r="C21" s="154"/>
      <c r="D21" s="152"/>
      <c r="E21" s="152"/>
      <c r="F21" s="168"/>
    </row>
    <row r="22" spans="2:6">
      <c r="B22" s="152"/>
      <c r="C22" s="154"/>
      <c r="D22" s="152"/>
      <c r="E22" s="152"/>
      <c r="F22" s="168"/>
    </row>
    <row r="23" spans="2:6">
      <c r="B23" s="152"/>
      <c r="C23" s="154"/>
      <c r="D23" s="152"/>
      <c r="E23" s="152"/>
      <c r="F23" s="168"/>
    </row>
    <row r="24" spans="2:6">
      <c r="B24" s="152"/>
      <c r="C24" s="154"/>
      <c r="D24" s="152"/>
      <c r="E24" s="152"/>
      <c r="F24" s="168"/>
    </row>
    <row r="25" spans="2:6">
      <c r="B25" s="152"/>
      <c r="C25" s="154"/>
      <c r="D25" s="152"/>
      <c r="E25" s="152"/>
      <c r="F25" s="168"/>
    </row>
    <row r="26" spans="2:6">
      <c r="B26" s="152"/>
      <c r="C26" s="152"/>
      <c r="D26" s="152"/>
      <c r="E26" s="152"/>
      <c r="F26" s="168"/>
    </row>
    <row r="27" spans="2:6">
      <c r="B27" s="152"/>
      <c r="C27" s="152"/>
      <c r="D27" s="152"/>
      <c r="E27" s="152"/>
      <c r="F27" s="168"/>
    </row>
    <row r="28" spans="2:6">
      <c r="B28" s="152"/>
      <c r="C28" s="152"/>
      <c r="D28" s="152"/>
      <c r="E28" s="152"/>
      <c r="F28" s="152"/>
    </row>
    <row r="29" spans="2:6">
      <c r="B29" s="152"/>
      <c r="C29" s="152"/>
      <c r="D29" s="152"/>
      <c r="E29" s="152"/>
      <c r="F29" s="152"/>
    </row>
    <row r="30" spans="2:6">
      <c r="B30" s="152"/>
      <c r="C30" s="152"/>
      <c r="D30" s="152"/>
      <c r="E30" s="152"/>
      <c r="F30" s="152"/>
    </row>
    <row r="31" spans="2:6">
      <c r="B31" s="152"/>
      <c r="C31" s="152"/>
      <c r="D31" s="152"/>
      <c r="E31" s="152"/>
      <c r="F31" s="152"/>
    </row>
    <row r="32" spans="2:6">
      <c r="B32" s="152"/>
      <c r="C32" s="152"/>
      <c r="D32" s="152"/>
      <c r="E32" s="152"/>
      <c r="F32" s="152"/>
    </row>
    <row r="33" spans="2:6">
      <c r="B33" s="152"/>
      <c r="C33" s="152"/>
      <c r="D33" s="152"/>
      <c r="E33" s="152"/>
      <c r="F33" s="152"/>
    </row>
    <row r="34" spans="2:6">
      <c r="B34" s="152"/>
      <c r="C34" s="152"/>
      <c r="D34" s="152"/>
      <c r="E34" s="152"/>
      <c r="F34" s="152"/>
    </row>
    <row r="35" spans="2:6">
      <c r="B35" s="152"/>
      <c r="C35" s="152"/>
      <c r="D35" s="152"/>
      <c r="E35" s="152"/>
      <c r="F35" s="152"/>
    </row>
    <row r="36" spans="2:6">
      <c r="B36" s="152"/>
      <c r="C36" s="152"/>
      <c r="D36" s="152"/>
      <c r="E36" s="152"/>
      <c r="F36" s="152"/>
    </row>
  </sheetData>
  <autoFilter ref="B1:F7" xr:uid="{036644F2-D40E-D44E-A8F1-DEB03FD07077}">
    <sortState xmlns:xlrd2="http://schemas.microsoft.com/office/spreadsheetml/2017/richdata2" ref="B2:F7">
      <sortCondition ref="B1:B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Overview</vt:lpstr>
      <vt:lpstr>Kostprijs</vt:lpstr>
      <vt:lpstr>Prijslijst</vt:lpstr>
      <vt:lpstr>Kostprijs LUMBONO</vt:lpstr>
      <vt:lpstr>Orders</vt:lpstr>
      <vt:lpstr>Desem schema</vt:lpstr>
      <vt:lpstr>Desem schema oud</vt:lpstr>
      <vt:lpstr>Planning</vt:lpstr>
      <vt:lpstr>Planning </vt:lpstr>
      <vt:lpstr>Contenitori</vt:lpstr>
      <vt:lpstr>Prijslijst!Print_Area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Smittenberg</dc:creator>
  <cp:lastModifiedBy>Sophia Smittenberg</cp:lastModifiedBy>
  <cp:lastPrinted>2025-12-15T06:56:50Z</cp:lastPrinted>
  <dcterms:created xsi:type="dcterms:W3CDTF">2025-11-19T19:56:07Z</dcterms:created>
  <dcterms:modified xsi:type="dcterms:W3CDTF">2026-09-15T07:24:41Z</dcterms:modified>
</cp:coreProperties>
</file>